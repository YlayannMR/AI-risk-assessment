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 d'emploi" sheetId="1" state="visible" r:id="rId3"/>
    <sheet name="Plan de traitement" sheetId="2" state="visible" r:id="rId4"/>
    <sheet name="Risque résiduel" sheetId="3" state="visible" r:id="rId5"/>
    <sheet name="SoA ISO 42001" sheetId="4" state="visible" r:id="rId6"/>
    <sheet name="Synthèse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<sst xmlns="http://schemas.openxmlformats.org/spreadsheetml/2006/main" count="563" uniqueCount="287">
  <si>
    <t xml:space="preserve">Traitement des risques et déclaration d'applicabilité ISO/IEC 42001 · Léa · Orséa Banque</t>
  </si>
  <si>
    <t xml:space="preserve">Étape 4 du projet : mesures de traitement, risque résiduel et déclaration d'applicabilité des 38 contrôles de l'Annexe A d'ISO/IEC 42001:2023.</t>
  </si>
  <si>
    <t xml:space="preserve">Cotation saisie en bleu ; niveaux calculés automatiquement (V + G ≥ 7 = Élevé, 5 ou 6 = Moyen, ≤ 4 = Faible).</t>
  </si>
  <si>
    <t xml:space="preserve">Principe directeur : on ne peut pas empêcher toutes les injections ou erreurs d'un modèle de langage ; on limite ce qu'elles peuvent provoquer.</t>
  </si>
  <si>
    <t xml:space="preserve">Id</t>
  </si>
  <si>
    <t xml:space="preserve">Mesure</t>
  </si>
  <si>
    <t xml:space="preserve">Type</t>
  </si>
  <si>
    <t xml:space="preserve">Risques traités</t>
  </si>
  <si>
    <t xml:space="preserve">Contrôles ISO 42001</t>
  </si>
  <si>
    <t xml:space="preserve">Responsable</t>
  </si>
  <si>
    <t xml:space="preserve">Priorité</t>
  </si>
  <si>
    <t xml:space="preserve">Échéance</t>
  </si>
  <si>
    <t xml:space="preserve">T-01</t>
  </si>
  <si>
    <t xml:space="preserve">Ancrer les réponses sur la base de connaissances validée, avec source citée ; si aucune source, Léa le dit et propose un conseiller</t>
  </si>
  <si>
    <t xml:space="preserve">Technique</t>
  </si>
  <si>
    <t xml:space="preserve">R-IA-08, R-IA-09</t>
  </si>
  <si>
    <t xml:space="preserve">A.6.2.2, A.7.4</t>
  </si>
  <si>
    <t xml:space="preserve">Équipe data</t>
  </si>
  <si>
    <t xml:space="preserve">P1</t>
  </si>
  <si>
    <t xml:space="preserve">Avant mise en service</t>
  </si>
  <si>
    <t xml:space="preserve">T-02</t>
  </si>
  <si>
    <t xml:space="preserve">Afficher l'extrait officiel (grille tarifaire, conditions générales) pour les frais, délais et droits, sans reformulation</t>
  </si>
  <si>
    <t xml:space="preserve">R-IA-08</t>
  </si>
  <si>
    <t xml:space="preserve">A.6.2.2, A.8.2</t>
  </si>
  <si>
    <t xml:space="preserve">T-03</t>
  </si>
  <si>
    <t xml:space="preserve">Jeu de tests avant chaque mise en production : questions pièges, injections, extraction de consigne, cas de clients vulnérables ; seuil de réussite fixé</t>
  </si>
  <si>
    <t xml:space="preserve">Organisationnelle</t>
  </si>
  <si>
    <t xml:space="preserve">R-IA-01, R-IA-02, R-IA-07, R-IA-08, R-IA-09</t>
  </si>
  <si>
    <t xml:space="preserve">A.6.2.4</t>
  </si>
  <si>
    <t xml:space="preserve">T-04</t>
  </si>
  <si>
    <t xml:space="preserve">Relecture humaine d'un échantillon de conversations chaque semaine et suivi d'indicateurs de qualité</t>
  </si>
  <si>
    <t xml:space="preserve">A.6.2.6</t>
  </si>
  <si>
    <t xml:space="preserve">Directeur relation client</t>
  </si>
  <si>
    <t xml:space="preserve">Dès la mise en service</t>
  </si>
  <si>
    <t xml:space="preserve">T-05</t>
  </si>
  <si>
    <t xml:space="preserve">Traiter les libellés et contenus externes comme des données non fiables : affichés tels quels, jamais interprétés comme des consignes</t>
  </si>
  <si>
    <t xml:space="preserve">R-IA-02</t>
  </si>
  <si>
    <t xml:space="preserve">A.6.1.3, A.6.2.2</t>
  </si>
  <si>
    <t xml:space="preserve">T-06</t>
  </si>
  <si>
    <t xml:space="preserve">Liste blanche : aucun numéro, lien ou procédure en dehors des canaux officiels d'Orséa dans les réponses</t>
  </si>
  <si>
    <t xml:space="preserve">R-IA-02, R-IA-04</t>
  </si>
  <si>
    <t xml:space="preserve">A.6.2.2</t>
  </si>
  <si>
    <t xml:space="preserve">T-07</t>
  </si>
  <si>
    <t xml:space="preserve">Filtres d'entrée et de sortie : détection des tentatives de contournement, des propos inappropriés et des données sensibles</t>
  </si>
  <si>
    <t xml:space="preserve">R-IA-01, R-IA-07</t>
  </si>
  <si>
    <t xml:space="preserve">A.6.2.5</t>
  </si>
  <si>
    <t xml:space="preserve">RSSI</t>
  </si>
  <si>
    <t xml:space="preserve">T-08</t>
  </si>
  <si>
    <t xml:space="preserve">Consigne système sans information sensible : aucune règle anti-fraude ni donnée interne dans la consigne</t>
  </si>
  <si>
    <t xml:space="preserve">R-IA-07</t>
  </si>
  <si>
    <t xml:space="preserve">A.6.2.3</t>
  </si>
  <si>
    <t xml:space="preserve">T-09</t>
  </si>
  <si>
    <t xml:space="preserve">Accès aux données limité au compte du client connecté, en lecture seule, contrôlé par le serveur et non par le modèle</t>
  </si>
  <si>
    <t xml:space="preserve">R-IA-03, R-IA-10</t>
  </si>
  <si>
    <t xml:space="preserve">A.6.1.3</t>
  </si>
  <si>
    <t xml:space="preserve">T-10</t>
  </si>
  <si>
    <t xml:space="preserve">Aucune action possible sur le compte ; tout ajout de fonction est validé par le comité IA après analyse de risques</t>
  </si>
  <si>
    <t xml:space="preserve">R-IA-10</t>
  </si>
  <si>
    <t xml:space="preserve">A.9.4</t>
  </si>
  <si>
    <t xml:space="preserve">Responsable IA</t>
  </si>
  <si>
    <t xml:space="preserve">Permanent</t>
  </si>
  <si>
    <t xml:space="preserve">T-11</t>
  </si>
  <si>
    <t xml:space="preserve">Masquage des données très sensibles et nouvelle authentification pour les questions sensibles</t>
  </si>
  <si>
    <t xml:space="preserve">R-IA-04</t>
  </si>
  <si>
    <t xml:space="preserve">P2</t>
  </si>
  <si>
    <t xml:space="preserve">3 mois après mise en service</t>
  </si>
  <si>
    <t xml:space="preserve">T-12</t>
  </si>
  <si>
    <t xml:space="preserve">Contrat avec l'éditeur du modèle : ni conservation ni entraînement sur les données, hébergement dans l'UE, clauses DORA, notification des incidents</t>
  </si>
  <si>
    <t xml:space="preserve">Contractuelle</t>
  </si>
  <si>
    <t xml:space="preserve">R-IA-05, R-IA-11</t>
  </si>
  <si>
    <t xml:space="preserve">A.10.3</t>
  </si>
  <si>
    <t xml:space="preserve">Achats</t>
  </si>
  <si>
    <t xml:space="preserve">T-13</t>
  </si>
  <si>
    <t xml:space="preserve">Journaux de conversation chiffrés, conservés 90 jours, accès restreint et lui-même journalisé</t>
  </si>
  <si>
    <t xml:space="preserve">R-IA-06</t>
  </si>
  <si>
    <t xml:space="preserve">A.6.2.8</t>
  </si>
  <si>
    <t xml:space="preserve">T-14</t>
  </si>
  <si>
    <t xml:space="preserve">Bouton permanent « parler à un conseiller » et transfert automatique en cas de signaux de fragilité</t>
  </si>
  <si>
    <t xml:space="preserve">R-IA-09, R-IA-13</t>
  </si>
  <si>
    <t xml:space="preserve">A.9.2, A.8.2</t>
  </si>
  <si>
    <t xml:space="preserve">T-15</t>
  </si>
  <si>
    <t xml:space="preserve">Mention « Vous échangez avec une IA » dès l'ouverture de la conversation, avec une notice d'information</t>
  </si>
  <si>
    <t xml:space="preserve">R-IA-13</t>
  </si>
  <si>
    <t xml:space="preserve">A.8.2</t>
  </si>
  <si>
    <t xml:space="preserve">T-16</t>
  </si>
  <si>
    <t xml:space="preserve">Limites de débit par client, plafond de coût mensuel et détection des robots</t>
  </si>
  <si>
    <t xml:space="preserve">R-IA-12</t>
  </si>
  <si>
    <t xml:space="preserve">A.4.5</t>
  </si>
  <si>
    <t xml:space="preserve">T-17</t>
  </si>
  <si>
    <t xml:space="preserve">Mode dégradé sans Léa (renvoi vers la FAQ et les conseillers) et plan de sortie vers un autre éditeur</t>
  </si>
  <si>
    <t xml:space="preserve">R-IA-11</t>
  </si>
  <si>
    <t xml:space="preserve">A.10.3, A.6.2.6</t>
  </si>
  <si>
    <t xml:space="preserve">DSI</t>
  </si>
  <si>
    <t xml:space="preserve">T-18</t>
  </si>
  <si>
    <t xml:space="preserve">Modification de la base de connaissances validée par deux personnes et versionnée</t>
  </si>
  <si>
    <t xml:space="preserve">R-IA-14</t>
  </si>
  <si>
    <t xml:space="preserve">A.7.4, A.7.5</t>
  </si>
  <si>
    <t xml:space="preserve">T-19</t>
  </si>
  <si>
    <t xml:space="preserve">Procédure d'incident IA intégrée à la gestion des incidents, avec un canal de signalement pour les collaborateurs</t>
  </si>
  <si>
    <t xml:space="preserve">Tous</t>
  </si>
  <si>
    <t xml:space="preserve">A.3.3, A.8.4</t>
  </si>
  <si>
    <t xml:space="preserve">T-20</t>
  </si>
  <si>
    <t xml:space="preserve">Formation à la maîtrise de l'IA (AI Act, article 4) pour l'équipe data, les conseillers et le COMEX</t>
  </si>
  <si>
    <t xml:space="preserve">A.4.6</t>
  </si>
  <si>
    <t xml:space="preserve">Risque</t>
  </si>
  <si>
    <t xml:space="preserve">Intitulé</t>
  </si>
  <si>
    <t xml:space="preserve">V actuelle</t>
  </si>
  <si>
    <t xml:space="preserve">G actuelle</t>
  </si>
  <si>
    <t xml:space="preserve">Niveau actuel</t>
  </si>
  <si>
    <t xml:space="preserve">Mesures</t>
  </si>
  <si>
    <t xml:space="preserve">V résiduelle</t>
  </si>
  <si>
    <t xml:space="preserve">G résiduelle</t>
  </si>
  <si>
    <t xml:space="preserve">Niveau résiduel</t>
  </si>
  <si>
    <t xml:space="preserve">Décision</t>
  </si>
  <si>
    <t xml:space="preserve">R-IA-01</t>
  </si>
  <si>
    <t xml:space="preserve">Contournement des consignes (injection directe)</t>
  </si>
  <si>
    <t xml:space="preserve">T-03, T-07</t>
  </si>
  <si>
    <t xml:space="preserve">Acceptation par le directeur relation client</t>
  </si>
  <si>
    <t xml:space="preserve">Injection indirecte par un libellé de virement</t>
  </si>
  <si>
    <t xml:space="preserve">T-03, T-05, T-06</t>
  </si>
  <si>
    <t xml:space="preserve">R-IA-03</t>
  </si>
  <si>
    <t xml:space="preserve">Fuite des données d'un autre client</t>
  </si>
  <si>
    <t xml:space="preserve">Ingénierie sociale via une session volée</t>
  </si>
  <si>
    <t xml:space="preserve">T-06, T-11</t>
  </si>
  <si>
    <t xml:space="preserve">R-IA-05</t>
  </si>
  <si>
    <t xml:space="preserve">Conservation des conversations par l'éditeur</t>
  </si>
  <si>
    <t xml:space="preserve">Fuite des journaux de conversation</t>
  </si>
  <si>
    <t xml:space="preserve">Divulgation de la consigne système</t>
  </si>
  <si>
    <t xml:space="preserve">T-03, T-07, T-08</t>
  </si>
  <si>
    <t xml:space="preserve">Réponse inventée (hallucination)</t>
  </si>
  <si>
    <t xml:space="preserve">T-01, T-02, T-03, T-04</t>
  </si>
  <si>
    <t xml:space="preserve">R-IA-09</t>
  </si>
  <si>
    <t xml:space="preserve">Mauvaise orientation d'un client vulnérable</t>
  </si>
  <si>
    <t xml:space="preserve">T-01, T-03, T-04, T-14</t>
  </si>
  <si>
    <t xml:space="preserve">Action non autorisée sur le compte</t>
  </si>
  <si>
    <t xml:space="preserve">T-09, T-10</t>
  </si>
  <si>
    <t xml:space="preserve">Panne ou changement de conditions de l'éditeur</t>
  </si>
  <si>
    <t xml:space="preserve">T-12, T-17</t>
  </si>
  <si>
    <t xml:space="preserve">Consommation abusive</t>
  </si>
  <si>
    <t xml:space="preserve">Absence d'information sur l'IA</t>
  </si>
  <si>
    <t xml:space="preserve">T-14, T-15</t>
  </si>
  <si>
    <t xml:space="preserve">Empoisonnement de la base de connaissances</t>
  </si>
  <si>
    <t xml:space="preserve">Thème</t>
  </si>
  <si>
    <t xml:space="preserve">Intitulé du thème</t>
  </si>
  <si>
    <t xml:space="preserve">Contrôle</t>
  </si>
  <si>
    <t xml:space="preserve">Applicable</t>
  </si>
  <si>
    <t xml:space="preserve">Justification et mise en œuvre</t>
  </si>
  <si>
    <t xml:space="preserve">État</t>
  </si>
  <si>
    <t xml:space="preserve">A.2</t>
  </si>
  <si>
    <t xml:space="preserve">Politiques</t>
  </si>
  <si>
    <t xml:space="preserve">A.2.2</t>
  </si>
  <si>
    <t xml:space="preserve">Politique IA</t>
  </si>
  <si>
    <t xml:space="preserve">Oui</t>
  </si>
  <si>
    <t xml:space="preserve">Politique rédigée (document « Contexte et politique IA »), à approuver par le COMEX</t>
  </si>
  <si>
    <t xml:space="preserve">—</t>
  </si>
  <si>
    <t xml:space="preserve">Partiel</t>
  </si>
  <si>
    <t xml:space="preserve">A.2.3</t>
  </si>
  <si>
    <t xml:space="preserve">Alignement avec les autres politiques</t>
  </si>
  <si>
    <t xml:space="preserve">La politique IA s'appuie sur la PSSI et la politique de protection des données</t>
  </si>
  <si>
    <t xml:space="preserve">A.2.4</t>
  </si>
  <si>
    <t xml:space="preserve">Revue de la politique IA</t>
  </si>
  <si>
    <t xml:space="preserve">Revue annuelle prévue</t>
  </si>
  <si>
    <t xml:space="preserve">À faire</t>
  </si>
  <si>
    <t xml:space="preserve">A.3</t>
  </si>
  <si>
    <t xml:space="preserve">Organisation interne</t>
  </si>
  <si>
    <t xml:space="preserve">A.3.2</t>
  </si>
  <si>
    <t xml:space="preserve">Rôles et responsabilités</t>
  </si>
  <si>
    <t xml:space="preserve">Rôles définis (document « Contexte et politique IA », clause 5.3)</t>
  </si>
  <si>
    <t xml:space="preserve">A.3.3</t>
  </si>
  <si>
    <t xml:space="preserve">Signalement des préoccupations</t>
  </si>
  <si>
    <t xml:space="preserve">Canal de signalement pour les collaborateurs</t>
  </si>
  <si>
    <t xml:space="preserve">A.4</t>
  </si>
  <si>
    <t xml:space="preserve">Ressources</t>
  </si>
  <si>
    <t xml:space="preserve">A.4.2</t>
  </si>
  <si>
    <t xml:space="preserve">Documentation des ressources</t>
  </si>
  <si>
    <t xml:space="preserve">Inventaire des composants de Léa (modèle, base de connaissances, connecteurs)</t>
  </si>
  <si>
    <t xml:space="preserve">A.4.3</t>
  </si>
  <si>
    <t xml:space="preserve">Ressources en données</t>
  </si>
  <si>
    <t xml:space="preserve">Base de connaissances documentée et validée</t>
  </si>
  <si>
    <t xml:space="preserve">A.4.4</t>
  </si>
  <si>
    <t xml:space="preserve">Outils</t>
  </si>
  <si>
    <t xml:space="preserve">Outils de test et de filtrage documentés</t>
  </si>
  <si>
    <t xml:space="preserve">Ressources système et de calcul</t>
  </si>
  <si>
    <t xml:space="preserve">Limites de débit et plafond de coût</t>
  </si>
  <si>
    <t xml:space="preserve">Ressources humaines</t>
  </si>
  <si>
    <t xml:space="preserve">Compétences et formation à la maîtrise de l'IA</t>
  </si>
  <si>
    <t xml:space="preserve">A.5</t>
  </si>
  <si>
    <t xml:space="preserve">Évaluation des impacts</t>
  </si>
  <si>
    <t xml:space="preserve">A.5.2</t>
  </si>
  <si>
    <t xml:space="preserve">Processus d'analyse d'impact</t>
  </si>
  <si>
    <t xml:space="preserve">Analyse d'impact obligatoire avant toute mise en service</t>
  </si>
  <si>
    <t xml:space="preserve">A.5.3</t>
  </si>
  <si>
    <t xml:space="preserve">Documentation des analyses d'impact</t>
  </si>
  <si>
    <t xml:space="preserve">Analyse documentée (fichier IA-02)</t>
  </si>
  <si>
    <t xml:space="preserve">En place</t>
  </si>
  <si>
    <t xml:space="preserve">A.5.4</t>
  </si>
  <si>
    <t xml:space="preserve">Impact sur les personnes</t>
  </si>
  <si>
    <t xml:space="preserve">Clients, clients vulnérables, conseillers évalués</t>
  </si>
  <si>
    <t xml:space="preserve">A.5.5</t>
  </si>
  <si>
    <t xml:space="preserve">Impact sociétal</t>
  </si>
  <si>
    <t xml:space="preserve">Confiance dans les services bancaires en ligne évaluée</t>
  </si>
  <si>
    <t xml:space="preserve">A.6</t>
  </si>
  <si>
    <t xml:space="preserve">Cycle de vie</t>
  </si>
  <si>
    <t xml:space="preserve">A.6.1.2</t>
  </si>
  <si>
    <t xml:space="preserve">Objectifs de développement responsable</t>
  </si>
  <si>
    <t xml:space="preserve">Engagements de la politique IA traduits en exigences</t>
  </si>
  <si>
    <t xml:space="preserve">Processus de conception responsable</t>
  </si>
  <si>
    <t xml:space="preserve">Séparation données et consignes, accès contrôlé par le serveur</t>
  </si>
  <si>
    <t xml:space="preserve">T-05, T-09</t>
  </si>
  <si>
    <t xml:space="preserve">Exigences et spécifications</t>
  </si>
  <si>
    <t xml:space="preserve">Ancrage, extraits officiels, liste blanche, masquage</t>
  </si>
  <si>
    <t xml:space="preserve">T-01, T-02, T-06, T-11</t>
  </si>
  <si>
    <t xml:space="preserve">Documentation de conception</t>
  </si>
  <si>
    <t xml:space="preserve">Consigne système et architecture documentées</t>
  </si>
  <si>
    <t xml:space="preserve">Vérification et validation</t>
  </si>
  <si>
    <t xml:space="preserve">Jeu de tests et seuil de réussite avant production</t>
  </si>
  <si>
    <t xml:space="preserve">Déploiement</t>
  </si>
  <si>
    <t xml:space="preserve">Filtres d'entrée et de sortie actifs avant ouverture</t>
  </si>
  <si>
    <t xml:space="preserve">Exploitation et surveillance</t>
  </si>
  <si>
    <t xml:space="preserve">Relecture d'échantillons, indicateurs, mode dégradé</t>
  </si>
  <si>
    <t xml:space="preserve">T-04, T-17</t>
  </si>
  <si>
    <t xml:space="preserve">A.6.2.7</t>
  </si>
  <si>
    <t xml:space="preserve">Documentation technique</t>
  </si>
  <si>
    <t xml:space="preserve">Documentation technique de Léa tenue à jour</t>
  </si>
  <si>
    <t xml:space="preserve">Journaux d'événements</t>
  </si>
  <si>
    <t xml:space="preserve">Journaux chiffrés, conservés 90 jours</t>
  </si>
  <si>
    <t xml:space="preserve">A.7</t>
  </si>
  <si>
    <t xml:space="preserve">Données</t>
  </si>
  <si>
    <t xml:space="preserve">A.7.2</t>
  </si>
  <si>
    <t xml:space="preserve">Données pour le développement</t>
  </si>
  <si>
    <t xml:space="preserve">Orséa n'entraîne pas de modèle ; contrôle applicable à la base de connaissances et aux jeux de tests</t>
  </si>
  <si>
    <t xml:space="preserve">T-03, T-18</t>
  </si>
  <si>
    <t xml:space="preserve">A.7.3</t>
  </si>
  <si>
    <t xml:space="preserve">Acquisition des données</t>
  </si>
  <si>
    <t xml:space="preserve">Origine des documents de la base de connaissances maîtrisée</t>
  </si>
  <si>
    <t xml:space="preserve">A.7.4</t>
  </si>
  <si>
    <t xml:space="preserve">Qualité des données</t>
  </si>
  <si>
    <t xml:space="preserve">Documents validés et à jour</t>
  </si>
  <si>
    <t xml:space="preserve">T-01, T-18</t>
  </si>
  <si>
    <t xml:space="preserve">A.7.5</t>
  </si>
  <si>
    <t xml:space="preserve">Provenance des données</t>
  </si>
  <si>
    <t xml:space="preserve">Versionnage des documents</t>
  </si>
  <si>
    <t xml:space="preserve">A.7.6</t>
  </si>
  <si>
    <t xml:space="preserve">Préparation des données</t>
  </si>
  <si>
    <t xml:space="preserve">Découpage et indexation de la base de connaissances documentés</t>
  </si>
  <si>
    <t xml:space="preserve">A.8</t>
  </si>
  <si>
    <t xml:space="preserve">Information des parties intéressées</t>
  </si>
  <si>
    <t xml:space="preserve">Information des utilisateurs</t>
  </si>
  <si>
    <t xml:space="preserve">Mention IA, notice, accès à un conseiller</t>
  </si>
  <si>
    <t xml:space="preserve">A.8.3</t>
  </si>
  <si>
    <t xml:space="preserve">Communication externe</t>
  </si>
  <si>
    <t xml:space="preserve">Signalement aux autorités selon l'AI Act, le RGPD et DORA</t>
  </si>
  <si>
    <t xml:space="preserve">A.8.4</t>
  </si>
  <si>
    <t xml:space="preserve">Communication des incidents</t>
  </si>
  <si>
    <t xml:space="preserve">Information des clients concernés en cas d'incident</t>
  </si>
  <si>
    <t xml:space="preserve">A.8.5</t>
  </si>
  <si>
    <t xml:space="preserve">Informations pour les parties intéressées</t>
  </si>
  <si>
    <t xml:space="preserve">Notice publique sur l'usage de l'IA par Orséa</t>
  </si>
  <si>
    <t xml:space="preserve">A.9</t>
  </si>
  <si>
    <t xml:space="preserve">Utilisation des systèmes d'IA</t>
  </si>
  <si>
    <t xml:space="preserve">A.9.2</t>
  </si>
  <si>
    <t xml:space="preserve">Processus d'utilisation responsable</t>
  </si>
  <si>
    <t xml:space="preserve">Transfert vers un conseiller, revue des usages</t>
  </si>
  <si>
    <t xml:space="preserve">A.9.3</t>
  </si>
  <si>
    <t xml:space="preserve">Objectifs d'utilisation responsable</t>
  </si>
  <si>
    <t xml:space="preserve">Indicateurs de qualité et de satisfaction</t>
  </si>
  <si>
    <t xml:space="preserve">Usage prévu</t>
  </si>
  <si>
    <t xml:space="preserve">Léa informe et oriente, aucune action sur le compte</t>
  </si>
  <si>
    <t xml:space="preserve">A.10</t>
  </si>
  <si>
    <t xml:space="preserve">Relations avec les tiers</t>
  </si>
  <si>
    <t xml:space="preserve">A.10.2</t>
  </si>
  <si>
    <t xml:space="preserve">Répartition des responsabilités</t>
  </si>
  <si>
    <t xml:space="preserve">Responsabilités entre Orséa et l'éditeur du modèle fixées au contrat</t>
  </si>
  <si>
    <t xml:space="preserve">Fournisseurs</t>
  </si>
  <si>
    <t xml:space="preserve">Clauses de l'éditeur : données, hébergement UE, DORA, sortie</t>
  </si>
  <si>
    <t xml:space="preserve">A.10.4</t>
  </si>
  <si>
    <t xml:space="preserve">Clients</t>
  </si>
  <si>
    <t xml:space="preserve">Conditions d'utilisation de Léa présentées aux clients</t>
  </si>
  <si>
    <t xml:space="preserve">Niveau</t>
  </si>
  <si>
    <t xml:space="preserve">Avant traitement</t>
  </si>
  <si>
    <t xml:space="preserve">Après traitement</t>
  </si>
  <si>
    <t xml:space="preserve">État des contrôles ISO 42001</t>
  </si>
  <si>
    <t xml:space="preserve">Nombre</t>
  </si>
  <si>
    <t xml:space="preserve">Élevé</t>
  </si>
  <si>
    <t xml:space="preserve">Moyen</t>
  </si>
  <si>
    <t xml:space="preserve">Faible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</si>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</sst>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 t="s"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70"/>
    <col collapsed="false" customWidth="true" hidden="false" outlineLevel="0" max="3" min="3" style="0" width="16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22"/>
    <col collapsed="false" customWidth="true" hidden="false" outlineLevel="0" max="7" min="7" style="0" width="9"/>
    <col collapsed="false" customWidth="true" hidden="false" outlineLevel="0" max="8" min="8" style="0" width="22"/>
  </cols>
  <sheetData>
    <row r="1" customFormat="false" ht="26.85" hidden="false" customHeight="false" outlineLevel="0" collapsed="false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</row>
    <row r="2" customFormat="false" ht="23.85" hidden="false" customHeight="false" outlineLevel="0" collapsed="false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19</v>
      </c>
    </row>
    <row r="3" customFormat="false" ht="23.85" hidden="false" customHeight="false" outlineLevel="0" collapsed="false">
      <c r="A3" s="4" t="s">
        <v>20</v>
      </c>
      <c r="B3" s="4" t="s">
        <v>21</v>
      </c>
      <c r="C3" s="4" t="s">
        <v>14</v>
      </c>
      <c r="D3" s="4" t="s">
        <v>22</v>
      </c>
      <c r="E3" s="4" t="s">
        <v>23</v>
      </c>
      <c r="F3" s="4" t="s">
        <v>17</v>
      </c>
      <c r="G3" s="4" t="s">
        <v>18</v>
      </c>
      <c r="H3" s="4" t="s">
        <v>19</v>
      </c>
    </row>
    <row r="4" customFormat="false" ht="23.85" hidden="false" customHeight="false" outlineLevel="0" collapsed="false">
      <c r="A4" s="4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17</v>
      </c>
      <c r="G4" s="4" t="s">
        <v>18</v>
      </c>
      <c r="H4" s="4" t="s">
        <v>19</v>
      </c>
    </row>
    <row r="5" customFormat="false" ht="23.85" hidden="false" customHeight="false" outlineLevel="0" collapsed="false">
      <c r="A5" s="4" t="s">
        <v>29</v>
      </c>
      <c r="B5" s="4" t="s">
        <v>30</v>
      </c>
      <c r="C5" s="4" t="s">
        <v>26</v>
      </c>
      <c r="D5" s="4" t="s">
        <v>15</v>
      </c>
      <c r="E5" s="4" t="s">
        <v>31</v>
      </c>
      <c r="F5" s="4" t="s">
        <v>32</v>
      </c>
      <c r="G5" s="4" t="s">
        <v>18</v>
      </c>
      <c r="H5" s="4" t="s">
        <v>33</v>
      </c>
    </row>
    <row r="6" customFormat="false" ht="23.85" hidden="false" customHeight="false" outlineLevel="0" collapsed="false">
      <c r="A6" s="4" t="s">
        <v>34</v>
      </c>
      <c r="B6" s="4" t="s">
        <v>35</v>
      </c>
      <c r="C6" s="4" t="s">
        <v>14</v>
      </c>
      <c r="D6" s="4" t="s">
        <v>36</v>
      </c>
      <c r="E6" s="4" t="s">
        <v>37</v>
      </c>
      <c r="F6" s="4" t="s">
        <v>17</v>
      </c>
      <c r="G6" s="4" t="s">
        <v>18</v>
      </c>
      <c r="H6" s="4" t="s">
        <v>19</v>
      </c>
    </row>
    <row r="7" customFormat="false" ht="23.85" hidden="false" customHeight="false" outlineLevel="0" collapsed="false">
      <c r="A7" s="4" t="s">
        <v>38</v>
      </c>
      <c r="B7" s="4" t="s">
        <v>39</v>
      </c>
      <c r="C7" s="4" t="s">
        <v>14</v>
      </c>
      <c r="D7" s="4" t="s">
        <v>40</v>
      </c>
      <c r="E7" s="4" t="s">
        <v>41</v>
      </c>
      <c r="F7" s="4" t="s">
        <v>17</v>
      </c>
      <c r="G7" s="4" t="s">
        <v>18</v>
      </c>
      <c r="H7" s="4" t="s">
        <v>19</v>
      </c>
    </row>
    <row r="8" customFormat="false" ht="23.85" hidden="false" customHeight="false" outlineLevel="0" collapsed="false">
      <c r="A8" s="4" t="s">
        <v>42</v>
      </c>
      <c r="B8" s="4" t="s">
        <v>43</v>
      </c>
      <c r="C8" s="4" t="s">
        <v>14</v>
      </c>
      <c r="D8" s="4" t="s">
        <v>44</v>
      </c>
      <c r="E8" s="4" t="s">
        <v>45</v>
      </c>
      <c r="F8" s="4" t="s">
        <v>46</v>
      </c>
      <c r="G8" s="4" t="s">
        <v>18</v>
      </c>
      <c r="H8" s="4" t="s">
        <v>19</v>
      </c>
    </row>
    <row r="9" customFormat="false" ht="23.85" hidden="false" customHeight="false" outlineLevel="0" collapsed="false">
      <c r="A9" s="4" t="s">
        <v>47</v>
      </c>
      <c r="B9" s="4" t="s">
        <v>48</v>
      </c>
      <c r="C9" s="4" t="s">
        <v>14</v>
      </c>
      <c r="D9" s="4" t="s">
        <v>49</v>
      </c>
      <c r="E9" s="4" t="s">
        <v>50</v>
      </c>
      <c r="F9" s="4" t="s">
        <v>17</v>
      </c>
      <c r="G9" s="4" t="s">
        <v>18</v>
      </c>
      <c r="H9" s="4" t="s">
        <v>19</v>
      </c>
    </row>
    <row r="10" customFormat="false" ht="23.85" hidden="false" customHeight="false" outlineLevel="0" collapsed="false">
      <c r="A10" s="4" t="s">
        <v>51</v>
      </c>
      <c r="B10" s="4" t="s">
        <v>52</v>
      </c>
      <c r="C10" s="4" t="s">
        <v>14</v>
      </c>
      <c r="D10" s="4" t="s">
        <v>53</v>
      </c>
      <c r="E10" s="4" t="s">
        <v>54</v>
      </c>
      <c r="F10" s="4" t="s">
        <v>46</v>
      </c>
      <c r="G10" s="4" t="s">
        <v>18</v>
      </c>
      <c r="H10" s="4" t="s">
        <v>19</v>
      </c>
    </row>
    <row r="11" customFormat="false" ht="23.85" hidden="false" customHeight="false" outlineLevel="0" collapsed="false">
      <c r="A11" s="4" t="s">
        <v>55</v>
      </c>
      <c r="B11" s="4" t="s">
        <v>56</v>
      </c>
      <c r="C11" s="4" t="s">
        <v>26</v>
      </c>
      <c r="D11" s="4" t="s">
        <v>57</v>
      </c>
      <c r="E11" s="4" t="s">
        <v>58</v>
      </c>
      <c r="F11" s="4" t="s">
        <v>59</v>
      </c>
      <c r="G11" s="4" t="s">
        <v>18</v>
      </c>
      <c r="H11" s="4" t="s">
        <v>60</v>
      </c>
    </row>
    <row r="12" customFormat="false" ht="23.85" hidden="false" customHeight="false" outlineLevel="0" collapsed="false">
      <c r="A12" s="4" t="s">
        <v>61</v>
      </c>
      <c r="B12" s="4" t="s">
        <v>62</v>
      </c>
      <c r="C12" s="4" t="s">
        <v>14</v>
      </c>
      <c r="D12" s="4" t="s">
        <v>63</v>
      </c>
      <c r="E12" s="4" t="s">
        <v>41</v>
      </c>
      <c r="F12" s="4" t="s">
        <v>17</v>
      </c>
      <c r="G12" s="4" t="s">
        <v>64</v>
      </c>
      <c r="H12" s="4" t="s">
        <v>65</v>
      </c>
    </row>
    <row r="13" customFormat="false" ht="23.85" hidden="false" customHeight="false" outlineLevel="0" collapsed="false">
      <c r="A13" s="4" t="s">
        <v>66</v>
      </c>
      <c r="B13" s="4" t="s">
        <v>67</v>
      </c>
      <c r="C13" s="4" t="s">
        <v>68</v>
      </c>
      <c r="D13" s="4" t="s">
        <v>69</v>
      </c>
      <c r="E13" s="4" t="s">
        <v>70</v>
      </c>
      <c r="F13" s="4" t="s">
        <v>71</v>
      </c>
      <c r="G13" s="4" t="s">
        <v>18</v>
      </c>
      <c r="H13" s="4" t="s">
        <v>19</v>
      </c>
    </row>
    <row r="14" customFormat="false" ht="23.85" hidden="false" customHeight="false" outlineLevel="0" collapsed="false">
      <c r="A14" s="4" t="s">
        <v>72</v>
      </c>
      <c r="B14" s="4" t="s">
        <v>73</v>
      </c>
      <c r="C14" s="4" t="s">
        <v>14</v>
      </c>
      <c r="D14" s="4" t="s">
        <v>74</v>
      </c>
      <c r="E14" s="4" t="s">
        <v>75</v>
      </c>
      <c r="F14" s="4" t="s">
        <v>46</v>
      </c>
      <c r="G14" s="4" t="s">
        <v>18</v>
      </c>
      <c r="H14" s="4" t="s">
        <v>19</v>
      </c>
    </row>
    <row r="15" customFormat="false" ht="23.85" hidden="false" customHeight="false" outlineLevel="0" collapsed="false">
      <c r="A15" s="4" t="s">
        <v>76</v>
      </c>
      <c r="B15" s="4" t="s">
        <v>77</v>
      </c>
      <c r="C15" s="4" t="s">
        <v>14</v>
      </c>
      <c r="D15" s="4" t="s">
        <v>78</v>
      </c>
      <c r="E15" s="4" t="s">
        <v>79</v>
      </c>
      <c r="F15" s="4" t="s">
        <v>32</v>
      </c>
      <c r="G15" s="4" t="s">
        <v>18</v>
      </c>
      <c r="H15" s="4" t="s">
        <v>19</v>
      </c>
    </row>
    <row r="16" customFormat="false" ht="23.85" hidden="false" customHeight="false" outlineLevel="0" collapsed="false">
      <c r="A16" s="4" t="s">
        <v>80</v>
      </c>
      <c r="B16" s="4" t="s">
        <v>81</v>
      </c>
      <c r="C16" s="4" t="s">
        <v>26</v>
      </c>
      <c r="D16" s="4" t="s">
        <v>82</v>
      </c>
      <c r="E16" s="4" t="s">
        <v>83</v>
      </c>
      <c r="F16" s="4" t="s">
        <v>59</v>
      </c>
      <c r="G16" s="4" t="s">
        <v>18</v>
      </c>
      <c r="H16" s="4" t="s">
        <v>19</v>
      </c>
    </row>
    <row r="17" customFormat="false" ht="15" hidden="false" customHeight="false" outlineLevel="0" collapsed="false">
      <c r="A17" s="4" t="s">
        <v>84</v>
      </c>
      <c r="B17" s="4" t="s">
        <v>85</v>
      </c>
      <c r="C17" s="4" t="s">
        <v>14</v>
      </c>
      <c r="D17" s="4" t="s">
        <v>86</v>
      </c>
      <c r="E17" s="4" t="s">
        <v>87</v>
      </c>
      <c r="F17" s="4" t="s">
        <v>46</v>
      </c>
      <c r="G17" s="4" t="s">
        <v>64</v>
      </c>
      <c r="H17" s="4" t="s">
        <v>19</v>
      </c>
    </row>
    <row r="18" customFormat="false" ht="23.85" hidden="false" customHeight="false" outlineLevel="0" collapsed="false">
      <c r="A18" s="4" t="s">
        <v>88</v>
      </c>
      <c r="B18" s="4" t="s">
        <v>89</v>
      </c>
      <c r="C18" s="4" t="s">
        <v>26</v>
      </c>
      <c r="D18" s="4" t="s">
        <v>90</v>
      </c>
      <c r="E18" s="4" t="s">
        <v>91</v>
      </c>
      <c r="F18" s="4" t="s">
        <v>92</v>
      </c>
      <c r="G18" s="4" t="s">
        <v>64</v>
      </c>
      <c r="H18" s="4" t="s">
        <v>65</v>
      </c>
    </row>
    <row r="19" customFormat="false" ht="15" hidden="false" customHeight="false" outlineLevel="0" collapsed="false">
      <c r="A19" s="4" t="s">
        <v>93</v>
      </c>
      <c r="B19" s="4" t="s">
        <v>94</v>
      </c>
      <c r="C19" s="4" t="s">
        <v>26</v>
      </c>
      <c r="D19" s="4" t="s">
        <v>95</v>
      </c>
      <c r="E19" s="4" t="s">
        <v>96</v>
      </c>
      <c r="F19" s="4" t="s">
        <v>32</v>
      </c>
      <c r="G19" s="4" t="s">
        <v>64</v>
      </c>
      <c r="H19" s="4" t="s">
        <v>19</v>
      </c>
    </row>
    <row r="20" customFormat="false" ht="23.85" hidden="false" customHeight="false" outlineLevel="0" collapsed="false">
      <c r="A20" s="4" t="s">
        <v>97</v>
      </c>
      <c r="B20" s="4" t="s">
        <v>98</v>
      </c>
      <c r="C20" s="4" t="s">
        <v>26</v>
      </c>
      <c r="D20" s="4" t="s">
        <v>99</v>
      </c>
      <c r="E20" s="4" t="s">
        <v>100</v>
      </c>
      <c r="F20" s="4" t="s">
        <v>46</v>
      </c>
      <c r="G20" s="4" t="s">
        <v>18</v>
      </c>
      <c r="H20" s="4" t="s">
        <v>19</v>
      </c>
    </row>
    <row r="21" customFormat="false" ht="23.85" hidden="false" customHeight="false" outlineLevel="0" collapsed="false">
      <c r="A21" s="4" t="s">
        <v>101</v>
      </c>
      <c r="B21" s="4" t="s">
        <v>102</v>
      </c>
      <c r="C21" s="4" t="s">
        <v>26</v>
      </c>
      <c r="D21" s="4" t="s">
        <v>99</v>
      </c>
      <c r="E21" s="4" t="s">
        <v>103</v>
      </c>
      <c r="F21" s="4" t="s">
        <v>59</v>
      </c>
      <c r="G21" s="4" t="s">
        <v>64</v>
      </c>
      <c r="H21" s="4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42"/>
    <col collapsed="false" customWidth="true" hidden="false" outlineLevel="0" max="4" min="3" style="0" width="9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8" min="7" style="0" width="10"/>
    <col collapsed="false" customWidth="true" hidden="false" outlineLevel="0" max="9" min="9" style="0" width="11"/>
    <col collapsed="false" customWidth="true" hidden="false" outlineLevel="0" max="10" min="10" style="0" width="30"/>
  </cols>
  <sheetData>
    <row r="1" customFormat="false" ht="39.55" hidden="false" customHeight="false" outlineLevel="0" collapsed="false">
      <c r="A1" s="3" t="s">
        <v>104</v>
      </c>
      <c r="B1" s="3" t="s">
        <v>105</v>
      </c>
      <c r="C1" s="3" t="s">
        <v>106</v>
      </c>
      <c r="D1" s="3" t="s">
        <v>107</v>
      </c>
      <c r="E1" s="3" t="s">
        <v>108</v>
      </c>
      <c r="F1" s="3" t="s">
        <v>109</v>
      </c>
      <c r="G1" s="3" t="s">
        <v>110</v>
      </c>
      <c r="H1" s="3" t="s">
        <v>111</v>
      </c>
      <c r="I1" s="3" t="s">
        <v>112</v>
      </c>
      <c r="J1" s="3" t="s">
        <v>113</v>
      </c>
    </row>
    <row r="2" customFormat="false" ht="23.85" hidden="false" customHeight="false" outlineLevel="0" collapsed="false">
      <c r="A2" s="4" t="s">
        <v>114</v>
      </c>
      <c r="B2" s="4" t="s">
        <v>115</v>
      </c>
      <c r="C2" s="5" t="n">
        <v>4</v>
      </c>
      <c r="D2" s="5" t="n">
        <v>2</v>
      </c>
      <c r="E2" s="4" t="str">
        <f aca="false">IF(C2+D2&gt;=7,"Élevé",IF(C2+D2&gt;=5,"Moyen","Faible"))</f>
        <v>Moyen</v>
      </c>
      <c r="F2" s="4" t="s">
        <v>116</v>
      </c>
      <c r="G2" s="5" t="n">
        <v>2</v>
      </c>
      <c r="H2" s="5" t="n">
        <v>2</v>
      </c>
      <c r="I2" s="4" t="str">
        <f aca="false">IF(G2+H2&gt;=7,"Élevé",IF(G2+H2&gt;=5,"Moyen","Faible"))</f>
        <v>Faible</v>
      </c>
      <c r="J2" s="4" t="s">
        <v>117</v>
      </c>
    </row>
    <row r="3" customFormat="false" ht="23.85" hidden="false" customHeight="false" outlineLevel="0" collapsed="false">
      <c r="A3" s="4" t="s">
        <v>36</v>
      </c>
      <c r="B3" s="4" t="s">
        <v>118</v>
      </c>
      <c r="C3" s="5" t="n">
        <v>2</v>
      </c>
      <c r="D3" s="5" t="n">
        <v>3</v>
      </c>
      <c r="E3" s="4" t="str">
        <f aca="false">IF(C3+D3&gt;=7,"Élevé",IF(C3+D3&gt;=5,"Moyen","Faible"))</f>
        <v>Moyen</v>
      </c>
      <c r="F3" s="4" t="s">
        <v>119</v>
      </c>
      <c r="G3" s="5" t="n">
        <v>1</v>
      </c>
      <c r="H3" s="5" t="n">
        <v>3</v>
      </c>
      <c r="I3" s="4" t="str">
        <f aca="false">IF(G3+H3&gt;=7,"Élevé",IF(G3+H3&gt;=5,"Moyen","Faible"))</f>
        <v>Faible</v>
      </c>
      <c r="J3" s="4" t="s">
        <v>117</v>
      </c>
    </row>
    <row r="4" customFormat="false" ht="23.85" hidden="false" customHeight="false" outlineLevel="0" collapsed="false">
      <c r="A4" s="4" t="s">
        <v>120</v>
      </c>
      <c r="B4" s="4" t="s">
        <v>121</v>
      </c>
      <c r="C4" s="5" t="n">
        <v>2</v>
      </c>
      <c r="D4" s="5" t="n">
        <v>4</v>
      </c>
      <c r="E4" s="4" t="str">
        <f aca="false">IF(C4+D4&gt;=7,"Élevé",IF(C4+D4&gt;=5,"Moyen","Faible"))</f>
        <v>Moyen</v>
      </c>
      <c r="F4" s="4" t="s">
        <v>51</v>
      </c>
      <c r="G4" s="5" t="n">
        <v>1</v>
      </c>
      <c r="H4" s="5" t="n">
        <v>4</v>
      </c>
      <c r="I4" s="4" t="str">
        <f aca="false">IF(G4+H4&gt;=7,"Élevé",IF(G4+H4&gt;=5,"Moyen","Faible"))</f>
        <v>Moyen</v>
      </c>
      <c r="J4" s="4" t="s">
        <v>117</v>
      </c>
    </row>
    <row r="5" customFormat="false" ht="23.85" hidden="false" customHeight="false" outlineLevel="0" collapsed="false">
      <c r="A5" s="4" t="s">
        <v>63</v>
      </c>
      <c r="B5" s="4" t="s">
        <v>122</v>
      </c>
      <c r="C5" s="5" t="n">
        <v>2</v>
      </c>
      <c r="D5" s="5" t="n">
        <v>3</v>
      </c>
      <c r="E5" s="4" t="str">
        <f aca="false">IF(C5+D5&gt;=7,"Élevé",IF(C5+D5&gt;=5,"Moyen","Faible"))</f>
        <v>Moyen</v>
      </c>
      <c r="F5" s="4" t="s">
        <v>123</v>
      </c>
      <c r="G5" s="5" t="n">
        <v>1</v>
      </c>
      <c r="H5" s="5" t="n">
        <v>3</v>
      </c>
      <c r="I5" s="4" t="str">
        <f aca="false">IF(G5+H5&gt;=7,"Élevé",IF(G5+H5&gt;=5,"Moyen","Faible"))</f>
        <v>Faible</v>
      </c>
      <c r="J5" s="4" t="s">
        <v>117</v>
      </c>
    </row>
    <row r="6" customFormat="false" ht="23.85" hidden="false" customHeight="false" outlineLevel="0" collapsed="false">
      <c r="A6" s="4" t="s">
        <v>124</v>
      </c>
      <c r="B6" s="4" t="s">
        <v>125</v>
      </c>
      <c r="C6" s="5" t="n">
        <v>3</v>
      </c>
      <c r="D6" s="5" t="n">
        <v>3</v>
      </c>
      <c r="E6" s="4" t="str">
        <f aca="false">IF(C6+D6&gt;=7,"Élevé",IF(C6+D6&gt;=5,"Moyen","Faible"))</f>
        <v>Moyen</v>
      </c>
      <c r="F6" s="4" t="s">
        <v>66</v>
      </c>
      <c r="G6" s="5" t="n">
        <v>1</v>
      </c>
      <c r="H6" s="5" t="n">
        <v>3</v>
      </c>
      <c r="I6" s="4" t="str">
        <f aca="false">IF(G6+H6&gt;=7,"Élevé",IF(G6+H6&gt;=5,"Moyen","Faible"))</f>
        <v>Faible</v>
      </c>
      <c r="J6" s="4" t="s">
        <v>117</v>
      </c>
    </row>
    <row r="7" customFormat="false" ht="23.85" hidden="false" customHeight="false" outlineLevel="0" collapsed="false">
      <c r="A7" s="4" t="s">
        <v>74</v>
      </c>
      <c r="B7" s="4" t="s">
        <v>126</v>
      </c>
      <c r="C7" s="5" t="n">
        <v>2</v>
      </c>
      <c r="D7" s="5" t="n">
        <v>4</v>
      </c>
      <c r="E7" s="4" t="str">
        <f aca="false">IF(C7+D7&gt;=7,"Élevé",IF(C7+D7&gt;=5,"Moyen","Faible"))</f>
        <v>Moyen</v>
      </c>
      <c r="F7" s="4" t="s">
        <v>72</v>
      </c>
      <c r="G7" s="5" t="n">
        <v>1</v>
      </c>
      <c r="H7" s="5" t="n">
        <v>4</v>
      </c>
      <c r="I7" s="4" t="str">
        <f aca="false">IF(G7+H7&gt;=7,"Élevé",IF(G7+H7&gt;=5,"Moyen","Faible"))</f>
        <v>Moyen</v>
      </c>
      <c r="J7" s="4" t="s">
        <v>117</v>
      </c>
    </row>
    <row r="8" customFormat="false" ht="23.85" hidden="false" customHeight="false" outlineLevel="0" collapsed="false">
      <c r="A8" s="4" t="s">
        <v>49</v>
      </c>
      <c r="B8" s="4" t="s">
        <v>127</v>
      </c>
      <c r="C8" s="5" t="n">
        <v>3</v>
      </c>
      <c r="D8" s="5" t="n">
        <v>3</v>
      </c>
      <c r="E8" s="4" t="str">
        <f aca="false">IF(C8+D8&gt;=7,"Élevé",IF(C8+D8&gt;=5,"Moyen","Faible"))</f>
        <v>Moyen</v>
      </c>
      <c r="F8" s="4" t="s">
        <v>128</v>
      </c>
      <c r="G8" s="5" t="n">
        <v>2</v>
      </c>
      <c r="H8" s="5" t="n">
        <v>2</v>
      </c>
      <c r="I8" s="4" t="str">
        <f aca="false">IF(G8+H8&gt;=7,"Élevé",IF(G8+H8&gt;=5,"Moyen","Faible"))</f>
        <v>Faible</v>
      </c>
      <c r="J8" s="4" t="s">
        <v>117</v>
      </c>
    </row>
    <row r="9" customFormat="false" ht="23.85" hidden="false" customHeight="false" outlineLevel="0" collapsed="false">
      <c r="A9" s="4" t="s">
        <v>22</v>
      </c>
      <c r="B9" s="4" t="s">
        <v>129</v>
      </c>
      <c r="C9" s="5" t="n">
        <v>4</v>
      </c>
      <c r="D9" s="5" t="n">
        <v>3</v>
      </c>
      <c r="E9" s="4" t="str">
        <f aca="false">IF(C9+D9&gt;=7,"Élevé",IF(C9+D9&gt;=5,"Moyen","Faible"))</f>
        <v>Élevé</v>
      </c>
      <c r="F9" s="4" t="s">
        <v>130</v>
      </c>
      <c r="G9" s="5" t="n">
        <v>2</v>
      </c>
      <c r="H9" s="5" t="n">
        <v>3</v>
      </c>
      <c r="I9" s="4" t="str">
        <f aca="false">IF(G9+H9&gt;=7,"Élevé",IF(G9+H9&gt;=5,"Moyen","Faible"))</f>
        <v>Moyen</v>
      </c>
      <c r="J9" s="4" t="s">
        <v>117</v>
      </c>
    </row>
    <row r="10" customFormat="false" ht="23.85" hidden="false" customHeight="false" outlineLevel="0" collapsed="false">
      <c r="A10" s="4" t="s">
        <v>131</v>
      </c>
      <c r="B10" s="4" t="s">
        <v>132</v>
      </c>
      <c r="C10" s="5" t="n">
        <v>3</v>
      </c>
      <c r="D10" s="5" t="n">
        <v>3</v>
      </c>
      <c r="E10" s="4" t="str">
        <f aca="false">IF(C10+D10&gt;=7,"Élevé",IF(C10+D10&gt;=5,"Moyen","Faible"))</f>
        <v>Moyen</v>
      </c>
      <c r="F10" s="4" t="s">
        <v>133</v>
      </c>
      <c r="G10" s="5" t="n">
        <v>2</v>
      </c>
      <c r="H10" s="5" t="n">
        <v>3</v>
      </c>
      <c r="I10" s="4" t="str">
        <f aca="false">IF(G10+H10&gt;=7,"Élevé",IF(G10+H10&gt;=5,"Moyen","Faible"))</f>
        <v>Moyen</v>
      </c>
      <c r="J10" s="4" t="s">
        <v>117</v>
      </c>
    </row>
    <row r="11" customFormat="false" ht="23.85" hidden="false" customHeight="false" outlineLevel="0" collapsed="false">
      <c r="A11" s="4" t="s">
        <v>57</v>
      </c>
      <c r="B11" s="4" t="s">
        <v>134</v>
      </c>
      <c r="C11" s="5" t="n">
        <v>1</v>
      </c>
      <c r="D11" s="5" t="n">
        <v>4</v>
      </c>
      <c r="E11" s="4" t="str">
        <f aca="false">IF(C11+D11&gt;=7,"Élevé",IF(C11+D11&gt;=5,"Moyen","Faible"))</f>
        <v>Moyen</v>
      </c>
      <c r="F11" s="4" t="s">
        <v>135</v>
      </c>
      <c r="G11" s="5" t="n">
        <v>1</v>
      </c>
      <c r="H11" s="5" t="n">
        <v>4</v>
      </c>
      <c r="I11" s="4" t="str">
        <f aca="false">IF(G11+H11&gt;=7,"Élevé",IF(G11+H11&gt;=5,"Moyen","Faible"))</f>
        <v>Moyen</v>
      </c>
      <c r="J11" s="4" t="s">
        <v>117</v>
      </c>
    </row>
    <row r="12" customFormat="false" ht="23.85" hidden="false" customHeight="false" outlineLevel="0" collapsed="false">
      <c r="A12" s="4" t="s">
        <v>90</v>
      </c>
      <c r="B12" s="4" t="s">
        <v>136</v>
      </c>
      <c r="C12" s="5" t="n">
        <v>3</v>
      </c>
      <c r="D12" s="5" t="n">
        <v>2</v>
      </c>
      <c r="E12" s="4" t="str">
        <f aca="false">IF(C12+D12&gt;=7,"Élevé",IF(C12+D12&gt;=5,"Moyen","Faible"))</f>
        <v>Moyen</v>
      </c>
      <c r="F12" s="4" t="s">
        <v>137</v>
      </c>
      <c r="G12" s="5" t="n">
        <v>3</v>
      </c>
      <c r="H12" s="5" t="n">
        <v>1</v>
      </c>
      <c r="I12" s="4" t="str">
        <f aca="false">IF(G12+H12&gt;=7,"Élevé",IF(G12+H12&gt;=5,"Moyen","Faible"))</f>
        <v>Faible</v>
      </c>
      <c r="J12" s="4" t="s">
        <v>117</v>
      </c>
    </row>
    <row r="13" customFormat="false" ht="23.85" hidden="false" customHeight="false" outlineLevel="0" collapsed="false">
      <c r="A13" s="4" t="s">
        <v>86</v>
      </c>
      <c r="B13" s="4" t="s">
        <v>138</v>
      </c>
      <c r="C13" s="5" t="n">
        <v>3</v>
      </c>
      <c r="D13" s="5" t="n">
        <v>2</v>
      </c>
      <c r="E13" s="4" t="str">
        <f aca="false">IF(C13+D13&gt;=7,"Élevé",IF(C13+D13&gt;=5,"Moyen","Faible"))</f>
        <v>Moyen</v>
      </c>
      <c r="F13" s="4" t="s">
        <v>84</v>
      </c>
      <c r="G13" s="5" t="n">
        <v>1</v>
      </c>
      <c r="H13" s="5" t="n">
        <v>2</v>
      </c>
      <c r="I13" s="4" t="str">
        <f aca="false">IF(G13+H13&gt;=7,"Élevé",IF(G13+H13&gt;=5,"Moyen","Faible"))</f>
        <v>Faible</v>
      </c>
      <c r="J13" s="4" t="s">
        <v>117</v>
      </c>
    </row>
    <row r="14" customFormat="false" ht="23.85" hidden="false" customHeight="false" outlineLevel="0" collapsed="false">
      <c r="A14" s="4" t="s">
        <v>82</v>
      </c>
      <c r="B14" s="4" t="s">
        <v>139</v>
      </c>
      <c r="C14" s="5" t="n">
        <v>2</v>
      </c>
      <c r="D14" s="5" t="n">
        <v>2</v>
      </c>
      <c r="E14" s="4" t="str">
        <f aca="false">IF(C14+D14&gt;=7,"Élevé",IF(C14+D14&gt;=5,"Moyen","Faible"))</f>
        <v>Faible</v>
      </c>
      <c r="F14" s="4" t="s">
        <v>140</v>
      </c>
      <c r="G14" s="5" t="n">
        <v>1</v>
      </c>
      <c r="H14" s="5" t="n">
        <v>2</v>
      </c>
      <c r="I14" s="4" t="str">
        <f aca="false">IF(G14+H14&gt;=7,"Élevé",IF(G14+H14&gt;=5,"Moyen","Faible"))</f>
        <v>Faible</v>
      </c>
      <c r="J14" s="4" t="s">
        <v>117</v>
      </c>
    </row>
    <row r="15" customFormat="false" ht="23.85" hidden="false" customHeight="false" outlineLevel="0" collapsed="false">
      <c r="A15" s="4" t="s">
        <v>95</v>
      </c>
      <c r="B15" s="4" t="s">
        <v>141</v>
      </c>
      <c r="C15" s="5" t="n">
        <v>1</v>
      </c>
      <c r="D15" s="5" t="n">
        <v>3</v>
      </c>
      <c r="E15" s="4" t="str">
        <f aca="false">IF(C15+D15&gt;=7,"Élevé",IF(C15+D15&gt;=5,"Moyen","Faible"))</f>
        <v>Faible</v>
      </c>
      <c r="F15" s="4" t="s">
        <v>93</v>
      </c>
      <c r="G15" s="5" t="n">
        <v>1</v>
      </c>
      <c r="H15" s="5" t="n">
        <v>2</v>
      </c>
      <c r="I15" s="4" t="str">
        <f aca="false">IF(G15+H15&gt;=7,"Élevé",IF(G15+H15&gt;=5,"Moyen","Faible"))</f>
        <v>Faible</v>
      </c>
      <c r="J15" s="4" t="s">
        <v>117</v>
      </c>
    </row>
  </sheetData>
  <conditionalFormatting sqref="E2:E15">
    <cfRule type="expression" priority="2" aboveAverage="0" equalAverage="0" bottom="0" percent="0" rank="0" text="" dxfId="0">
      <formula>$E2="Élevé"</formula>
    </cfRule>
    <cfRule type="expression" priority="3" aboveAverage="0" equalAverage="0" bottom="0" percent="0" rank="0" text="" dxfId="1">
      <formula>$E2="Moyen"</formula>
    </cfRule>
    <cfRule type="expression" priority="4" aboveAverage="0" equalAverage="0" bottom="0" percent="0" rank="0" text="" dxfId="2">
      <formula>$E2="Faible"</formula>
    </cfRule>
  </conditionalFormatting>
  <conditionalFormatting sqref="I2:I15">
    <cfRule type="expression" priority="5" aboveAverage="0" equalAverage="0" bottom="0" percent="0" rank="0" text="" dxfId="0">
      <formula>$I2="Élevé"</formula>
    </cfRule>
    <cfRule type="expression" priority="6" aboveAverage="0" equalAverage="0" bottom="0" percent="0" rank="0" text="" dxfId="1">
      <formula>$I2="Moyen"</formula>
    </cfRule>
    <cfRule type="expression" priority="7" aboveAverage="0" equalAverage="0" bottom="0" percent="0" rank="0" text="" dxfId="2">
      <formula>$I2="Faible"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32"/>
    <col collapsed="false" customWidth="true" hidden="false" outlineLevel="0" max="5" min="5" style="0" width="10"/>
    <col collapsed="false" customWidth="true" hidden="false" outlineLevel="0" max="6" min="6" style="0" width="58"/>
    <col collapsed="false" customWidth="true" hidden="false" outlineLevel="0" max="7" min="7" style="0" width="18"/>
    <col collapsed="false" customWidth="true" hidden="false" outlineLevel="0" max="8" min="8" style="0" width="10"/>
  </cols>
  <sheetData>
    <row r="1" customFormat="false" ht="26.85" hidden="false" customHeight="false" outlineLevel="0" collapsed="false">
      <c r="A1" s="3" t="s">
        <v>142</v>
      </c>
      <c r="B1" s="3" t="s">
        <v>143</v>
      </c>
      <c r="C1" s="3" t="s">
        <v>144</v>
      </c>
      <c r="D1" s="3" t="s">
        <v>105</v>
      </c>
      <c r="E1" s="3" t="s">
        <v>145</v>
      </c>
      <c r="F1" s="3" t="s">
        <v>146</v>
      </c>
      <c r="G1" s="3" t="s">
        <v>109</v>
      </c>
      <c r="H1" s="3" t="s">
        <v>147</v>
      </c>
    </row>
    <row r="2" customFormat="false" ht="23.85" hidden="false" customHeight="false" outlineLevel="0" collapsed="false">
      <c r="A2" s="4" t="s">
        <v>148</v>
      </c>
      <c r="B2" s="4" t="s">
        <v>149</v>
      </c>
      <c r="C2" s="4" t="s">
        <v>150</v>
      </c>
      <c r="D2" s="4" t="s">
        <v>151</v>
      </c>
      <c r="E2" s="4" t="s">
        <v>152</v>
      </c>
      <c r="F2" s="4" t="s">
        <v>153</v>
      </c>
      <c r="G2" s="4" t="s">
        <v>154</v>
      </c>
      <c r="H2" s="4" t="s">
        <v>155</v>
      </c>
    </row>
    <row r="3" customFormat="false" ht="23.85" hidden="false" customHeight="false" outlineLevel="0" collapsed="false">
      <c r="A3" s="4" t="s">
        <v>148</v>
      </c>
      <c r="B3" s="4" t="s">
        <v>149</v>
      </c>
      <c r="C3" s="4" t="s">
        <v>156</v>
      </c>
      <c r="D3" s="4" t="s">
        <v>157</v>
      </c>
      <c r="E3" s="4" t="s">
        <v>152</v>
      </c>
      <c r="F3" s="4" t="s">
        <v>158</v>
      </c>
      <c r="G3" s="4" t="s">
        <v>154</v>
      </c>
      <c r="H3" s="4" t="s">
        <v>155</v>
      </c>
    </row>
    <row r="4" customFormat="false" ht="15" hidden="false" customHeight="false" outlineLevel="0" collapsed="false">
      <c r="A4" s="4" t="s">
        <v>148</v>
      </c>
      <c r="B4" s="4" t="s">
        <v>149</v>
      </c>
      <c r="C4" s="4" t="s">
        <v>159</v>
      </c>
      <c r="D4" s="4" t="s">
        <v>160</v>
      </c>
      <c r="E4" s="4" t="s">
        <v>152</v>
      </c>
      <c r="F4" s="4" t="s">
        <v>161</v>
      </c>
      <c r="G4" s="4" t="s">
        <v>154</v>
      </c>
      <c r="H4" s="4" t="s">
        <v>162</v>
      </c>
    </row>
    <row r="5" customFormat="false" ht="15" hidden="false" customHeight="false" outlineLevel="0" collapsed="false">
      <c r="A5" s="4" t="s">
        <v>163</v>
      </c>
      <c r="B5" s="4" t="s">
        <v>164</v>
      </c>
      <c r="C5" s="4" t="s">
        <v>165</v>
      </c>
      <c r="D5" s="4" t="s">
        <v>166</v>
      </c>
      <c r="E5" s="4" t="s">
        <v>152</v>
      </c>
      <c r="F5" s="4" t="s">
        <v>167</v>
      </c>
      <c r="G5" s="4" t="s">
        <v>154</v>
      </c>
      <c r="H5" s="4" t="s">
        <v>155</v>
      </c>
    </row>
    <row r="6" customFormat="false" ht="15" hidden="false" customHeight="false" outlineLevel="0" collapsed="false">
      <c r="A6" s="4" t="s">
        <v>163</v>
      </c>
      <c r="B6" s="4" t="s">
        <v>164</v>
      </c>
      <c r="C6" s="4" t="s">
        <v>168</v>
      </c>
      <c r="D6" s="4" t="s">
        <v>169</v>
      </c>
      <c r="E6" s="4" t="s">
        <v>152</v>
      </c>
      <c r="F6" s="4" t="s">
        <v>170</v>
      </c>
      <c r="G6" s="4" t="s">
        <v>97</v>
      </c>
      <c r="H6" s="4" t="s">
        <v>162</v>
      </c>
    </row>
    <row r="7" customFormat="false" ht="23.85" hidden="false" customHeight="false" outlineLevel="0" collapsed="false">
      <c r="A7" s="4" t="s">
        <v>171</v>
      </c>
      <c r="B7" s="4" t="s">
        <v>172</v>
      </c>
      <c r="C7" s="4" t="s">
        <v>173</v>
      </c>
      <c r="D7" s="4" t="s">
        <v>174</v>
      </c>
      <c r="E7" s="4" t="s">
        <v>152</v>
      </c>
      <c r="F7" s="4" t="s">
        <v>175</v>
      </c>
      <c r="G7" s="4" t="s">
        <v>154</v>
      </c>
      <c r="H7" s="4" t="s">
        <v>155</v>
      </c>
    </row>
    <row r="8" customFormat="false" ht="15" hidden="false" customHeight="false" outlineLevel="0" collapsed="false">
      <c r="A8" s="4" t="s">
        <v>171</v>
      </c>
      <c r="B8" s="4" t="s">
        <v>172</v>
      </c>
      <c r="C8" s="4" t="s">
        <v>176</v>
      </c>
      <c r="D8" s="4" t="s">
        <v>177</v>
      </c>
      <c r="E8" s="4" t="s">
        <v>152</v>
      </c>
      <c r="F8" s="4" t="s">
        <v>178</v>
      </c>
      <c r="G8" s="4" t="s">
        <v>93</v>
      </c>
      <c r="H8" s="4" t="s">
        <v>162</v>
      </c>
    </row>
    <row r="9" customFormat="false" ht="15" hidden="false" customHeight="false" outlineLevel="0" collapsed="false">
      <c r="A9" s="4" t="s">
        <v>171</v>
      </c>
      <c r="B9" s="4" t="s">
        <v>172</v>
      </c>
      <c r="C9" s="4" t="s">
        <v>179</v>
      </c>
      <c r="D9" s="4" t="s">
        <v>180</v>
      </c>
      <c r="E9" s="4" t="s">
        <v>152</v>
      </c>
      <c r="F9" s="4" t="s">
        <v>181</v>
      </c>
      <c r="G9" s="4" t="s">
        <v>116</v>
      </c>
      <c r="H9" s="4" t="s">
        <v>162</v>
      </c>
    </row>
    <row r="10" customFormat="false" ht="15" hidden="false" customHeight="false" outlineLevel="0" collapsed="false">
      <c r="A10" s="4" t="s">
        <v>171</v>
      </c>
      <c r="B10" s="4" t="s">
        <v>172</v>
      </c>
      <c r="C10" s="4" t="s">
        <v>87</v>
      </c>
      <c r="D10" s="4" t="s">
        <v>182</v>
      </c>
      <c r="E10" s="4" t="s">
        <v>152</v>
      </c>
      <c r="F10" s="4" t="s">
        <v>183</v>
      </c>
      <c r="G10" s="4" t="s">
        <v>84</v>
      </c>
      <c r="H10" s="4" t="s">
        <v>162</v>
      </c>
    </row>
    <row r="11" customFormat="false" ht="15" hidden="false" customHeight="false" outlineLevel="0" collapsed="false">
      <c r="A11" s="4" t="s">
        <v>171</v>
      </c>
      <c r="B11" s="4" t="s">
        <v>172</v>
      </c>
      <c r="C11" s="4" t="s">
        <v>103</v>
      </c>
      <c r="D11" s="4" t="s">
        <v>184</v>
      </c>
      <c r="E11" s="4" t="s">
        <v>152</v>
      </c>
      <c r="F11" s="4" t="s">
        <v>185</v>
      </c>
      <c r="G11" s="4" t="s">
        <v>101</v>
      </c>
      <c r="H11" s="4" t="s">
        <v>162</v>
      </c>
    </row>
    <row r="12" customFormat="false" ht="15" hidden="false" customHeight="false" outlineLevel="0" collapsed="false">
      <c r="A12" s="4" t="s">
        <v>186</v>
      </c>
      <c r="B12" s="4" t="s">
        <v>187</v>
      </c>
      <c r="C12" s="4" t="s">
        <v>188</v>
      </c>
      <c r="D12" s="4" t="s">
        <v>189</v>
      </c>
      <c r="E12" s="4" t="s">
        <v>152</v>
      </c>
      <c r="F12" s="4" t="s">
        <v>190</v>
      </c>
      <c r="G12" s="4" t="s">
        <v>154</v>
      </c>
      <c r="H12" s="4" t="s">
        <v>155</v>
      </c>
    </row>
    <row r="13" customFormat="false" ht="15" hidden="false" customHeight="false" outlineLevel="0" collapsed="false">
      <c r="A13" s="4" t="s">
        <v>186</v>
      </c>
      <c r="B13" s="4" t="s">
        <v>187</v>
      </c>
      <c r="C13" s="4" t="s">
        <v>191</v>
      </c>
      <c r="D13" s="4" t="s">
        <v>192</v>
      </c>
      <c r="E13" s="4" t="s">
        <v>152</v>
      </c>
      <c r="F13" s="4" t="s">
        <v>193</v>
      </c>
      <c r="G13" s="4" t="s">
        <v>154</v>
      </c>
      <c r="H13" s="4" t="s">
        <v>194</v>
      </c>
    </row>
    <row r="14" customFormat="false" ht="15" hidden="false" customHeight="false" outlineLevel="0" collapsed="false">
      <c r="A14" s="4" t="s">
        <v>186</v>
      </c>
      <c r="B14" s="4" t="s">
        <v>187</v>
      </c>
      <c r="C14" s="4" t="s">
        <v>195</v>
      </c>
      <c r="D14" s="4" t="s">
        <v>196</v>
      </c>
      <c r="E14" s="4" t="s">
        <v>152</v>
      </c>
      <c r="F14" s="4" t="s">
        <v>197</v>
      </c>
      <c r="G14" s="4" t="s">
        <v>154</v>
      </c>
      <c r="H14" s="4" t="s">
        <v>194</v>
      </c>
    </row>
    <row r="15" customFormat="false" ht="15" hidden="false" customHeight="false" outlineLevel="0" collapsed="false">
      <c r="A15" s="4" t="s">
        <v>186</v>
      </c>
      <c r="B15" s="4" t="s">
        <v>187</v>
      </c>
      <c r="C15" s="4" t="s">
        <v>198</v>
      </c>
      <c r="D15" s="4" t="s">
        <v>199</v>
      </c>
      <c r="E15" s="4" t="s">
        <v>152</v>
      </c>
      <c r="F15" s="4" t="s">
        <v>200</v>
      </c>
      <c r="G15" s="4" t="s">
        <v>154</v>
      </c>
      <c r="H15" s="4" t="s">
        <v>194</v>
      </c>
    </row>
    <row r="16" customFormat="false" ht="23.85" hidden="false" customHeight="false" outlineLevel="0" collapsed="false">
      <c r="A16" s="4" t="s">
        <v>201</v>
      </c>
      <c r="B16" s="4" t="s">
        <v>202</v>
      </c>
      <c r="C16" s="4" t="s">
        <v>203</v>
      </c>
      <c r="D16" s="4" t="s">
        <v>204</v>
      </c>
      <c r="E16" s="4" t="s">
        <v>152</v>
      </c>
      <c r="F16" s="4" t="s">
        <v>205</v>
      </c>
      <c r="G16" s="4" t="s">
        <v>55</v>
      </c>
      <c r="H16" s="4" t="s">
        <v>155</v>
      </c>
    </row>
    <row r="17" customFormat="false" ht="15" hidden="false" customHeight="false" outlineLevel="0" collapsed="false">
      <c r="A17" s="4" t="s">
        <v>201</v>
      </c>
      <c r="B17" s="4" t="s">
        <v>202</v>
      </c>
      <c r="C17" s="4" t="s">
        <v>54</v>
      </c>
      <c r="D17" s="4" t="s">
        <v>206</v>
      </c>
      <c r="E17" s="4" t="s">
        <v>152</v>
      </c>
      <c r="F17" s="4" t="s">
        <v>207</v>
      </c>
      <c r="G17" s="4" t="s">
        <v>208</v>
      </c>
      <c r="H17" s="4" t="s">
        <v>162</v>
      </c>
    </row>
    <row r="18" customFormat="false" ht="23.85" hidden="false" customHeight="false" outlineLevel="0" collapsed="false">
      <c r="A18" s="4" t="s">
        <v>201</v>
      </c>
      <c r="B18" s="4" t="s">
        <v>202</v>
      </c>
      <c r="C18" s="4" t="s">
        <v>41</v>
      </c>
      <c r="D18" s="4" t="s">
        <v>209</v>
      </c>
      <c r="E18" s="4" t="s">
        <v>152</v>
      </c>
      <c r="F18" s="4" t="s">
        <v>210</v>
      </c>
      <c r="G18" s="4" t="s">
        <v>211</v>
      </c>
      <c r="H18" s="4" t="s">
        <v>162</v>
      </c>
    </row>
    <row r="19" customFormat="false" ht="15" hidden="false" customHeight="false" outlineLevel="0" collapsed="false">
      <c r="A19" s="4" t="s">
        <v>201</v>
      </c>
      <c r="B19" s="4" t="s">
        <v>202</v>
      </c>
      <c r="C19" s="4" t="s">
        <v>50</v>
      </c>
      <c r="D19" s="4" t="s">
        <v>212</v>
      </c>
      <c r="E19" s="4" t="s">
        <v>152</v>
      </c>
      <c r="F19" s="4" t="s">
        <v>213</v>
      </c>
      <c r="G19" s="4" t="s">
        <v>47</v>
      </c>
      <c r="H19" s="4" t="s">
        <v>162</v>
      </c>
    </row>
    <row r="20" customFormat="false" ht="15" hidden="false" customHeight="false" outlineLevel="0" collapsed="false">
      <c r="A20" s="4" t="s">
        <v>201</v>
      </c>
      <c r="B20" s="4" t="s">
        <v>202</v>
      </c>
      <c r="C20" s="4" t="s">
        <v>28</v>
      </c>
      <c r="D20" s="4" t="s">
        <v>214</v>
      </c>
      <c r="E20" s="4" t="s">
        <v>152</v>
      </c>
      <c r="F20" s="4" t="s">
        <v>215</v>
      </c>
      <c r="G20" s="4" t="s">
        <v>24</v>
      </c>
      <c r="H20" s="4" t="s">
        <v>162</v>
      </c>
    </row>
    <row r="21" customFormat="false" ht="15" hidden="false" customHeight="false" outlineLevel="0" collapsed="false">
      <c r="A21" s="4" t="s">
        <v>201</v>
      </c>
      <c r="B21" s="4" t="s">
        <v>202</v>
      </c>
      <c r="C21" s="4" t="s">
        <v>45</v>
      </c>
      <c r="D21" s="4" t="s">
        <v>216</v>
      </c>
      <c r="E21" s="4" t="s">
        <v>152</v>
      </c>
      <c r="F21" s="4" t="s">
        <v>217</v>
      </c>
      <c r="G21" s="4" t="s">
        <v>42</v>
      </c>
      <c r="H21" s="4" t="s">
        <v>162</v>
      </c>
    </row>
    <row r="22" customFormat="false" ht="15" hidden="false" customHeight="false" outlineLevel="0" collapsed="false">
      <c r="A22" s="4" t="s">
        <v>201</v>
      </c>
      <c r="B22" s="4" t="s">
        <v>202</v>
      </c>
      <c r="C22" s="4" t="s">
        <v>31</v>
      </c>
      <c r="D22" s="4" t="s">
        <v>218</v>
      </c>
      <c r="E22" s="4" t="s">
        <v>152</v>
      </c>
      <c r="F22" s="4" t="s">
        <v>219</v>
      </c>
      <c r="G22" s="4" t="s">
        <v>220</v>
      </c>
      <c r="H22" s="4" t="s">
        <v>162</v>
      </c>
    </row>
    <row r="23" customFormat="false" ht="15" hidden="false" customHeight="false" outlineLevel="0" collapsed="false">
      <c r="A23" s="4" t="s">
        <v>201</v>
      </c>
      <c r="B23" s="4" t="s">
        <v>202</v>
      </c>
      <c r="C23" s="4" t="s">
        <v>221</v>
      </c>
      <c r="D23" s="4" t="s">
        <v>222</v>
      </c>
      <c r="E23" s="4" t="s">
        <v>152</v>
      </c>
      <c r="F23" s="4" t="s">
        <v>223</v>
      </c>
      <c r="G23" s="4" t="s">
        <v>47</v>
      </c>
      <c r="H23" s="4" t="s">
        <v>162</v>
      </c>
    </row>
    <row r="24" customFormat="false" ht="15" hidden="false" customHeight="false" outlineLevel="0" collapsed="false">
      <c r="A24" s="4" t="s">
        <v>201</v>
      </c>
      <c r="B24" s="4" t="s">
        <v>202</v>
      </c>
      <c r="C24" s="4" t="s">
        <v>75</v>
      </c>
      <c r="D24" s="4" t="s">
        <v>224</v>
      </c>
      <c r="E24" s="4" t="s">
        <v>152</v>
      </c>
      <c r="F24" s="4" t="s">
        <v>225</v>
      </c>
      <c r="G24" s="4" t="s">
        <v>72</v>
      </c>
      <c r="H24" s="4" t="s">
        <v>162</v>
      </c>
    </row>
    <row r="25" customFormat="false" ht="23.85" hidden="false" customHeight="false" outlineLevel="0" collapsed="false">
      <c r="A25" s="4" t="s">
        <v>226</v>
      </c>
      <c r="B25" s="4" t="s">
        <v>227</v>
      </c>
      <c r="C25" s="4" t="s">
        <v>228</v>
      </c>
      <c r="D25" s="4" t="s">
        <v>229</v>
      </c>
      <c r="E25" s="4" t="s">
        <v>152</v>
      </c>
      <c r="F25" s="4" t="s">
        <v>230</v>
      </c>
      <c r="G25" s="4" t="s">
        <v>231</v>
      </c>
      <c r="H25" s="4" t="s">
        <v>162</v>
      </c>
    </row>
    <row r="26" customFormat="false" ht="15" hidden="false" customHeight="false" outlineLevel="0" collapsed="false">
      <c r="A26" s="4" t="s">
        <v>226</v>
      </c>
      <c r="B26" s="4" t="s">
        <v>227</v>
      </c>
      <c r="C26" s="4" t="s">
        <v>232</v>
      </c>
      <c r="D26" s="4" t="s">
        <v>233</v>
      </c>
      <c r="E26" s="4" t="s">
        <v>152</v>
      </c>
      <c r="F26" s="4" t="s">
        <v>234</v>
      </c>
      <c r="G26" s="4" t="s">
        <v>93</v>
      </c>
      <c r="H26" s="4" t="s">
        <v>162</v>
      </c>
    </row>
    <row r="27" customFormat="false" ht="15" hidden="false" customHeight="false" outlineLevel="0" collapsed="false">
      <c r="A27" s="4" t="s">
        <v>226</v>
      </c>
      <c r="B27" s="4" t="s">
        <v>227</v>
      </c>
      <c r="C27" s="4" t="s">
        <v>235</v>
      </c>
      <c r="D27" s="4" t="s">
        <v>236</v>
      </c>
      <c r="E27" s="4" t="s">
        <v>152</v>
      </c>
      <c r="F27" s="4" t="s">
        <v>237</v>
      </c>
      <c r="G27" s="4" t="s">
        <v>238</v>
      </c>
      <c r="H27" s="4" t="s">
        <v>162</v>
      </c>
    </row>
    <row r="28" customFormat="false" ht="15" hidden="false" customHeight="false" outlineLevel="0" collapsed="false">
      <c r="A28" s="4" t="s">
        <v>226</v>
      </c>
      <c r="B28" s="4" t="s">
        <v>227</v>
      </c>
      <c r="C28" s="4" t="s">
        <v>239</v>
      </c>
      <c r="D28" s="4" t="s">
        <v>240</v>
      </c>
      <c r="E28" s="4" t="s">
        <v>152</v>
      </c>
      <c r="F28" s="4" t="s">
        <v>241</v>
      </c>
      <c r="G28" s="4" t="s">
        <v>93</v>
      </c>
      <c r="H28" s="4" t="s">
        <v>162</v>
      </c>
    </row>
    <row r="29" customFormat="false" ht="15" hidden="false" customHeight="false" outlineLevel="0" collapsed="false">
      <c r="A29" s="4" t="s">
        <v>226</v>
      </c>
      <c r="B29" s="4" t="s">
        <v>227</v>
      </c>
      <c r="C29" s="4" t="s">
        <v>242</v>
      </c>
      <c r="D29" s="4" t="s">
        <v>243</v>
      </c>
      <c r="E29" s="4" t="s">
        <v>152</v>
      </c>
      <c r="F29" s="4" t="s">
        <v>244</v>
      </c>
      <c r="G29" s="4" t="s">
        <v>93</v>
      </c>
      <c r="H29" s="4" t="s">
        <v>162</v>
      </c>
    </row>
    <row r="30" customFormat="false" ht="23.85" hidden="false" customHeight="false" outlineLevel="0" collapsed="false">
      <c r="A30" s="4" t="s">
        <v>245</v>
      </c>
      <c r="B30" s="4" t="s">
        <v>246</v>
      </c>
      <c r="C30" s="4" t="s">
        <v>83</v>
      </c>
      <c r="D30" s="4" t="s">
        <v>247</v>
      </c>
      <c r="E30" s="4" t="s">
        <v>152</v>
      </c>
      <c r="F30" s="4" t="s">
        <v>248</v>
      </c>
      <c r="G30" s="4" t="s">
        <v>140</v>
      </c>
      <c r="H30" s="4" t="s">
        <v>162</v>
      </c>
    </row>
    <row r="31" customFormat="false" ht="23.85" hidden="false" customHeight="false" outlineLevel="0" collapsed="false">
      <c r="A31" s="4" t="s">
        <v>245</v>
      </c>
      <c r="B31" s="4" t="s">
        <v>246</v>
      </c>
      <c r="C31" s="4" t="s">
        <v>249</v>
      </c>
      <c r="D31" s="4" t="s">
        <v>250</v>
      </c>
      <c r="E31" s="4" t="s">
        <v>152</v>
      </c>
      <c r="F31" s="4" t="s">
        <v>251</v>
      </c>
      <c r="G31" s="4" t="s">
        <v>97</v>
      </c>
      <c r="H31" s="4" t="s">
        <v>162</v>
      </c>
    </row>
    <row r="32" customFormat="false" ht="23.85" hidden="false" customHeight="false" outlineLevel="0" collapsed="false">
      <c r="A32" s="4" t="s">
        <v>245</v>
      </c>
      <c r="B32" s="4" t="s">
        <v>246</v>
      </c>
      <c r="C32" s="4" t="s">
        <v>252</v>
      </c>
      <c r="D32" s="4" t="s">
        <v>253</v>
      </c>
      <c r="E32" s="4" t="s">
        <v>152</v>
      </c>
      <c r="F32" s="4" t="s">
        <v>254</v>
      </c>
      <c r="G32" s="4" t="s">
        <v>97</v>
      </c>
      <c r="H32" s="4" t="s">
        <v>162</v>
      </c>
    </row>
    <row r="33" customFormat="false" ht="23.85" hidden="false" customHeight="false" outlineLevel="0" collapsed="false">
      <c r="A33" s="4" t="s">
        <v>245</v>
      </c>
      <c r="B33" s="4" t="s">
        <v>246</v>
      </c>
      <c r="C33" s="4" t="s">
        <v>255</v>
      </c>
      <c r="D33" s="4" t="s">
        <v>256</v>
      </c>
      <c r="E33" s="4" t="s">
        <v>152</v>
      </c>
      <c r="F33" s="4" t="s">
        <v>257</v>
      </c>
      <c r="G33" s="4" t="s">
        <v>80</v>
      </c>
      <c r="H33" s="4" t="s">
        <v>162</v>
      </c>
    </row>
    <row r="34" customFormat="false" ht="15" hidden="false" customHeight="false" outlineLevel="0" collapsed="false">
      <c r="A34" s="4" t="s">
        <v>258</v>
      </c>
      <c r="B34" s="4" t="s">
        <v>259</v>
      </c>
      <c r="C34" s="4" t="s">
        <v>260</v>
      </c>
      <c r="D34" s="4" t="s">
        <v>261</v>
      </c>
      <c r="E34" s="4" t="s">
        <v>152</v>
      </c>
      <c r="F34" s="4" t="s">
        <v>262</v>
      </c>
      <c r="G34" s="4" t="s">
        <v>76</v>
      </c>
      <c r="H34" s="4" t="s">
        <v>162</v>
      </c>
    </row>
    <row r="35" customFormat="false" ht="15" hidden="false" customHeight="false" outlineLevel="0" collapsed="false">
      <c r="A35" s="4" t="s">
        <v>258</v>
      </c>
      <c r="B35" s="4" t="s">
        <v>259</v>
      </c>
      <c r="C35" s="4" t="s">
        <v>263</v>
      </c>
      <c r="D35" s="4" t="s">
        <v>264</v>
      </c>
      <c r="E35" s="4" t="s">
        <v>152</v>
      </c>
      <c r="F35" s="4" t="s">
        <v>265</v>
      </c>
      <c r="G35" s="4" t="s">
        <v>29</v>
      </c>
      <c r="H35" s="4" t="s">
        <v>162</v>
      </c>
    </row>
    <row r="36" customFormat="false" ht="15" hidden="false" customHeight="false" outlineLevel="0" collapsed="false">
      <c r="A36" s="4" t="s">
        <v>258</v>
      </c>
      <c r="B36" s="4" t="s">
        <v>259</v>
      </c>
      <c r="C36" s="4" t="s">
        <v>58</v>
      </c>
      <c r="D36" s="4" t="s">
        <v>266</v>
      </c>
      <c r="E36" s="4" t="s">
        <v>152</v>
      </c>
      <c r="F36" s="4" t="s">
        <v>267</v>
      </c>
      <c r="G36" s="4" t="s">
        <v>55</v>
      </c>
      <c r="H36" s="4" t="s">
        <v>155</v>
      </c>
    </row>
    <row r="37" customFormat="false" ht="15" hidden="false" customHeight="false" outlineLevel="0" collapsed="false">
      <c r="A37" s="4" t="s">
        <v>268</v>
      </c>
      <c r="B37" s="4" t="s">
        <v>269</v>
      </c>
      <c r="C37" s="4" t="s">
        <v>270</v>
      </c>
      <c r="D37" s="4" t="s">
        <v>271</v>
      </c>
      <c r="E37" s="4" t="s">
        <v>152</v>
      </c>
      <c r="F37" s="4" t="s">
        <v>272</v>
      </c>
      <c r="G37" s="4" t="s">
        <v>66</v>
      </c>
      <c r="H37" s="4" t="s">
        <v>162</v>
      </c>
    </row>
    <row r="38" customFormat="false" ht="15" hidden="false" customHeight="false" outlineLevel="0" collapsed="false">
      <c r="A38" s="4" t="s">
        <v>268</v>
      </c>
      <c r="B38" s="4" t="s">
        <v>269</v>
      </c>
      <c r="C38" s="4" t="s">
        <v>70</v>
      </c>
      <c r="D38" s="4" t="s">
        <v>273</v>
      </c>
      <c r="E38" s="4" t="s">
        <v>152</v>
      </c>
      <c r="F38" s="4" t="s">
        <v>274</v>
      </c>
      <c r="G38" s="4" t="s">
        <v>137</v>
      </c>
      <c r="H38" s="4" t="s">
        <v>162</v>
      </c>
    </row>
    <row r="39" customFormat="false" ht="15" hidden="false" customHeight="false" outlineLevel="0" collapsed="false">
      <c r="A39" s="4" t="s">
        <v>268</v>
      </c>
      <c r="B39" s="4" t="s">
        <v>269</v>
      </c>
      <c r="C39" s="4" t="s">
        <v>275</v>
      </c>
      <c r="D39" s="4" t="s">
        <v>276</v>
      </c>
      <c r="E39" s="4" t="s">
        <v>152</v>
      </c>
      <c r="F39" s="4" t="s">
        <v>277</v>
      </c>
      <c r="G39" s="4" t="s">
        <v>80</v>
      </c>
      <c r="H39" s="4" t="s">
        <v>162</v>
      </c>
    </row>
  </sheetData>
  <conditionalFormatting sqref="H2:H39">
    <cfRule type="expression" priority="2" aboveAverage="0" equalAverage="0" bottom="0" percent="0" rank="0" text="" dxfId="2">
      <formula>$H2="En place"</formula>
    </cfRule>
    <cfRule type="expression" priority="3" aboveAverage="0" equalAverage="0" bottom="0" percent="0" rank="0" text="" dxfId="1">
      <formula>$H2="Partiel"</formula>
    </cfRule>
    <cfRule type="expression" priority="4" aboveAverage="0" equalAverage="0" bottom="0" percent="0" rank="0" text="" dxfId="0">
      <formula>$H2="À faire"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3" min="2" style="0" width="18"/>
    <col collapsed="false" customWidth="true" hidden="false" outlineLevel="0" max="5" min="5" style="0" width="28"/>
  </cols>
  <sheetData>
    <row r="1" customFormat="false" ht="15" hidden="false" customHeight="false" outlineLevel="0" collapsed="false">
      <c r="A1" s="3" t="s">
        <v>278</v>
      </c>
      <c r="B1" s="3" t="s">
        <v>279</v>
      </c>
      <c r="C1" s="3" t="s">
        <v>280</v>
      </c>
      <c r="E1" s="6" t="s">
        <v>281</v>
      </c>
      <c r="F1" s="6" t="s">
        <v>282</v>
      </c>
    </row>
    <row r="2" customFormat="false" ht="15" hidden="false" customHeight="false" outlineLevel="0" collapsed="false">
      <c r="A2" s="4" t="s">
        <v>283</v>
      </c>
      <c r="B2" s="4" t="n">
        <f aca="false">COUNTIF('Risque résiduel'!$E$2:$E$15,A2)</f>
        <v>1</v>
      </c>
      <c r="C2" s="4" t="n">
        <f aca="false">COUNTIF('Risque résiduel'!$I$2:$I$15,A2)</f>
        <v>0</v>
      </c>
      <c r="E2" s="4" t="s">
        <v>194</v>
      </c>
      <c r="F2" s="4" t="n">
        <f aca="false">COUNTIF('SoA ISO 42001'!$H$2:$H$39,E2)</f>
        <v>3</v>
      </c>
    </row>
    <row r="3" customFormat="false" ht="15" hidden="false" customHeight="false" outlineLevel="0" collapsed="false">
      <c r="A3" s="4" t="s">
        <v>284</v>
      </c>
      <c r="B3" s="4" t="n">
        <f aca="false">COUNTIF('Risque résiduel'!$E$2:$E$15,A3)</f>
        <v>11</v>
      </c>
      <c r="C3" s="4" t="n">
        <f aca="false">COUNTIF('Risque résiduel'!$I$2:$I$15,A3)</f>
        <v>5</v>
      </c>
      <c r="E3" s="4" t="s">
        <v>155</v>
      </c>
      <c r="F3" s="4" t="n">
        <f aca="false">COUNTIF('SoA ISO 42001'!$H$2:$H$39,E3)</f>
        <v>7</v>
      </c>
    </row>
    <row r="4" customFormat="false" ht="15" hidden="false" customHeight="false" outlineLevel="0" collapsed="false">
      <c r="A4" s="4" t="s">
        <v>285</v>
      </c>
      <c r="B4" s="4" t="n">
        <f aca="false">COUNTIF('Risque résiduel'!$E$2:$E$15,A4)</f>
        <v>2</v>
      </c>
      <c r="C4" s="4" t="n">
        <f aca="false">COUNTIF('Risque résiduel'!$I$2:$I$15,A4)</f>
        <v>9</v>
      </c>
      <c r="E4" s="4" t="s">
        <v>162</v>
      </c>
      <c r="F4" s="4" t="n">
        <f aca="false">COUNTIF('SoA ISO 42001'!$H$2:$H$39,E4)</f>
        <v>28</v>
      </c>
    </row>
    <row r="5" customFormat="false" ht="15" hidden="false" customHeight="false" outlineLevel="0" collapsed="false">
      <c r="A5" s="4" t="s">
        <v>286</v>
      </c>
      <c r="B5" s="4" t="n">
        <f aca="false">SUM(B2:B4)</f>
        <v>14</v>
      </c>
      <c r="C5" s="4" t="n">
        <f aca="false">SUM(C2:C4)</f>
        <v>14</v>
      </c>
      <c r="E5" s="4" t="s">
        <v>286</v>
      </c>
      <c r="F5" s="4" t="n">
        <f aca="false">SUM(F2:F4)</f>
        <v>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2026-10-22T07:10:49Z</dcterms:created>
  <dc:creator>Ylayann Malouda Ribardiere</dc:creator>
  <dc:description/>
  <dc:language>en-US</dc:language>
  <cp:lastModifiedBy>Ylayann Malouda Ribardiere</cp:lastModifiedBy>
  <dcterms:modified xsi:type="dcterms:W3CDTF">2026-10-22T07:10:49Z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