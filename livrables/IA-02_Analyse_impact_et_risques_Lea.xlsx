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Analyse d'impact" sheetId="2" state="visible" r:id="rId4"/>
    <sheet name="Registre des risques" sheetId="3" state="visible" r:id="rId5"/>
    <sheet name="Synthèse" sheetId="4" state="visible" r:id="rId6"/>
  </sheets>
  <definedNames>
    <definedName function="false" hidden="true" localSheetId="2" name="_xlnm._FilterDatabase" vbProcedure="false">'Registre des risques'!$A$1:$K$15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<sst xmlns="http://schemas.openxmlformats.org/spreadsheetml/2006/main" count="175" uniqueCount="145">
  <si>
    <t xml:space="preserve">Analyse d'impact et de risques · Léa, assistant conversationnel · Orséa Banque</t>
  </si>
  <si>
    <t xml:space="preserve">Étape 3 du projet. Deux volets : l'analyse d'impact sur les personnes (ISO/IEC 42001, clause 6.1.4) et le registre des risques du système (clause 6.1.2), appuyé sur l'OWASP Top 10 pour les applications à base de grands modèles de langage (version 2025).</t>
  </si>
  <si>
    <t xml:space="preserve">Cotation : vraisemblance (V) et gravité (G) de 1 à 4, saisies en bleu. Niveau calculé : V + G ≥ 7 = Élevé, 5 ou 6 = Moyen, ≤ 4 = Faible. Même échelle que l'analyse EBIOS RM d'Orséa.</t>
  </si>
  <si>
    <t xml:space="preserve">Hypothèse de conception : Léa peut consulter les opérations du client connecté mais ne peut exécuter aucune action sur le compte.</t>
  </si>
  <si>
    <t xml:space="preserve">Personnes concernées</t>
  </si>
  <si>
    <t xml:space="preserve">Dimension</t>
  </si>
  <si>
    <t xml:space="preserve">Effet possible</t>
  </si>
  <si>
    <t xml:space="preserve">Gravité (1-4)</t>
  </si>
  <si>
    <t xml:space="preserve">Niveau d'impact</t>
  </si>
  <si>
    <t xml:space="preserve">Risques liés</t>
  </si>
  <si>
    <t xml:space="preserve">Clients</t>
  </si>
  <si>
    <t xml:space="preserve">Vie privée</t>
  </si>
  <si>
    <t xml:space="preserve">Divulgation d'opérations ou de données bancaires à un tiers ou à un autre client</t>
  </si>
  <si>
    <t xml:space="preserve">R-IA-03, R-IA-05, R-IA-06</t>
  </si>
  <si>
    <t xml:space="preserve">Sécurité financière</t>
  </si>
  <si>
    <t xml:space="preserve">Perte d'argent après une réponse fausse (frais, délais, procédure) ou une arnaque relayée par Léa</t>
  </si>
  <si>
    <t xml:space="preserve">R-IA-02, R-IA-08</t>
  </si>
  <si>
    <t xml:space="preserve">Transparence</t>
  </si>
  <si>
    <t xml:space="preserve">Ignorer qu'on échange avec une IA ou ne pas savoir comment joindre un humain</t>
  </si>
  <si>
    <t xml:space="preserve">R-IA-13</t>
  </si>
  <si>
    <t xml:space="preserve">Clients vulnérables</t>
  </si>
  <si>
    <t xml:space="preserve">Équité et protection</t>
  </si>
  <si>
    <t xml:space="preserve">Orientation inadaptée d'un client en difficulté (endettement, fragilité) faute de détection de sa situation</t>
  </si>
  <si>
    <t xml:space="preserve">R-IA-09</t>
  </si>
  <si>
    <t xml:space="preserve">Autonomie et recours</t>
  </si>
  <si>
    <t xml:space="preserve">Difficulté à contester une information ou à obtenir un conseiller</t>
  </si>
  <si>
    <t xml:space="preserve">R-IA-09, R-IA-13</t>
  </si>
  <si>
    <t xml:space="preserve">Conseillers</t>
  </si>
  <si>
    <t xml:space="preserve">Conditions de travail</t>
  </si>
  <si>
    <t xml:space="preserve">Reprise de conversations sans historique, clients mécontents d'une réponse de Léa</t>
  </si>
  <si>
    <t xml:space="preserve">R-IA-08, R-IA-11</t>
  </si>
  <si>
    <t xml:space="preserve">Société</t>
  </si>
  <si>
    <t xml:space="preserve">Confiance dans le secteur bancaire</t>
  </si>
  <si>
    <t xml:space="preserve">Incident public (propos inappropriés, fuite) qui nuit à la confiance dans les services bancaires en ligne</t>
  </si>
  <si>
    <t xml:space="preserve">R-IA-01, R-IA-06</t>
  </si>
  <si>
    <t xml:space="preserve">Id</t>
  </si>
  <si>
    <t xml:space="preserve">Famille</t>
  </si>
  <si>
    <t xml:space="preserve">Risque</t>
  </si>
  <si>
    <t xml:space="preserve">Scénario concret</t>
  </si>
  <si>
    <t xml:space="preserve">Référence OWASP LLM</t>
  </si>
  <si>
    <t xml:space="preserve">Conséquences</t>
  </si>
  <si>
    <t xml:space="preserve">Mesures existantes</t>
  </si>
  <si>
    <t xml:space="preserve">V (1-4)</t>
  </si>
  <si>
    <t xml:space="preserve">G (1-4)</t>
  </si>
  <si>
    <t xml:space="preserve">Niveau</t>
  </si>
  <si>
    <t xml:space="preserve">Justification</t>
  </si>
  <si>
    <t xml:space="preserve">R-IA-01</t>
  </si>
  <si>
    <t xml:space="preserve">Attaque</t>
  </si>
  <si>
    <t xml:space="preserve">Contournement des consignes (injection directe)</t>
  </si>
  <si>
    <t xml:space="preserve">Un client demande à Léa d'ignorer ses consignes pour tenir des propos insultants ou donner des conseils interdits, puis publie la capture</t>
  </si>
  <si>
    <t xml:space="preserve">LLM01 Prompt Injection</t>
  </si>
  <si>
    <t xml:space="preserve">Atteinte à l'image, contenu inapproprié diffusé</t>
  </si>
  <si>
    <t xml:space="preserve">Filtres de l'éditeur du modèle</t>
  </si>
  <si>
    <t xml:space="preserve">Technique très connue et facile à tenter ; l'effet reste surtout un problème d'image.</t>
  </si>
  <si>
    <t xml:space="preserve">R-IA-02</t>
  </si>
  <si>
    <t xml:space="preserve">Injection indirecte par un libellé de virement</t>
  </si>
  <si>
    <t xml:space="preserve">Un fraudeur envoie un virement de 1 € dont le libellé contient une instruction ; Léa la lit en résumant les opérations et invite le client à appeler un faux numéro</t>
  </si>
  <si>
    <t xml:space="preserve">Fraude au client, perte financière</t>
  </si>
  <si>
    <t xml:space="preserve">Aucune</t>
  </si>
  <si>
    <t xml:space="preserve">Scénario plus élaboré mais réaliste ; il transforme Léa en relais d'arnaque.</t>
  </si>
  <si>
    <t xml:space="preserve">R-IA-03</t>
  </si>
  <si>
    <t xml:space="preserve">Données</t>
  </si>
  <si>
    <t xml:space="preserve">Fuite des données d'un autre client</t>
  </si>
  <si>
    <t xml:space="preserve">Une faille dans la connexion aux données permet à Léa de lire des opérations hors du compte du client connecté</t>
  </si>
  <si>
    <t xml:space="preserve">LLM02 Sensitive Information Disclosure, LLM06 Excessive Agency</t>
  </si>
  <si>
    <t xml:space="preserve">Violation de données, secret bancaire, sanction CNIL</t>
  </si>
  <si>
    <t xml:space="preserve">Authentification du client dans l'appli</t>
  </si>
  <si>
    <t xml:space="preserve">Dépend de la qualité du contrôle d'accès ; l'impact serait critique.</t>
  </si>
  <si>
    <t xml:space="preserve">R-IA-04</t>
  </si>
  <si>
    <t xml:space="preserve">Ingénierie sociale via une session volée</t>
  </si>
  <si>
    <t xml:space="preserve">Un fraudeur qui a accès au téléphone déverrouillé d'un client interroge Léa pour obtenir des informations et préparer une fraude</t>
  </si>
  <si>
    <t xml:space="preserve">LLM02 Sensitive Information Disclosure</t>
  </si>
  <si>
    <t xml:space="preserve">Préparation d'une fraude</t>
  </si>
  <si>
    <t xml:space="preserve">Authentification forte à la connexion (M_01)</t>
  </si>
  <si>
    <t xml:space="preserve">Suppose l'accès à l'appareil ; Léa accélère la collecte d'informations.</t>
  </si>
  <si>
    <t xml:space="preserve">R-IA-05</t>
  </si>
  <si>
    <t xml:space="preserve">Conservation des conversations par l'éditeur du modèle</t>
  </si>
  <si>
    <t xml:space="preserve">Les conversations envoyées à l'éditeur sont conservées, réutilisées pour entraîner son modèle ou traitées hors de l'Union européenne</t>
  </si>
  <si>
    <t xml:space="preserve">LLM03 Supply Chain</t>
  </si>
  <si>
    <t xml:space="preserve">Non-conformité RGPD, secret bancaire, perte de maîtrise des données</t>
  </si>
  <si>
    <t xml:space="preserve">Aucune clause spécifique</t>
  </si>
  <si>
    <t xml:space="preserve">Dépend du contrat ; risque fréquent avec les offres standard.</t>
  </si>
  <si>
    <t xml:space="preserve">R-IA-06</t>
  </si>
  <si>
    <t xml:space="preserve">Fuite des journaux de conversation</t>
  </si>
  <si>
    <t xml:space="preserve">Les journaux sont stockés sans chiffrement et accessibles à trop de personnes en interne ou chez un prestataire</t>
  </si>
  <si>
    <t xml:space="preserve">Violation massive de données personnelles</t>
  </si>
  <si>
    <t xml:space="preserve">Contrôle d'accès général du SI</t>
  </si>
  <si>
    <t xml:space="preserve">Les journaux concentrent beaucoup de données sensibles.</t>
  </si>
  <si>
    <t xml:space="preserve">R-IA-07</t>
  </si>
  <si>
    <t xml:space="preserve">Divulgation de la consigne système</t>
  </si>
  <si>
    <t xml:space="preserve">Un client obtient de Léa le texte de ses consignes internes, dont des règles anti-fraude utiles à un fraudeur</t>
  </si>
  <si>
    <t xml:space="preserve">LLM07 System Prompt Leakage</t>
  </si>
  <si>
    <t xml:space="preserve">Contournement des contrôles de la banque</t>
  </si>
  <si>
    <t xml:space="preserve">Extraction facile à tenter ; gravité forte si la consigne contient des règles internes.</t>
  </si>
  <si>
    <t xml:space="preserve">R-IA-08</t>
  </si>
  <si>
    <t xml:space="preserve">Erreur</t>
  </si>
  <si>
    <t xml:space="preserve">Réponse inventée (hallucination)</t>
  </si>
  <si>
    <t xml:space="preserve">Léa affirme qu'un prélèvement est remboursable sous 60 jours dans un cas où ce n'est pas vrai ; le client perd ses droits ou de l'argent</t>
  </si>
  <si>
    <t xml:space="preserve">LLM09 Misinformation</t>
  </si>
  <si>
    <t xml:space="preserve">Perte financière du client, responsabilité de la banque, réclamations</t>
  </si>
  <si>
    <t xml:space="preserve">Base de connaissances sur les produits</t>
  </si>
  <si>
    <t xml:space="preserve">Les modèles de langage inventent régulièrement ; la banque reste responsable de ce que dit son assistant.</t>
  </si>
  <si>
    <t xml:space="preserve">Humain</t>
  </si>
  <si>
    <t xml:space="preserve">Mauvaise orientation d'un client vulnérable</t>
  </si>
  <si>
    <t xml:space="preserve">Un client en difficulté financière reçoit une réponse standard sans être orienté vers un conseiller ou une aide adaptée</t>
  </si>
  <si>
    <t xml:space="preserve">Aggravation de la situation du client, manquement au devoir de conseil</t>
  </si>
  <si>
    <t xml:space="preserve">Les situations de fragilité sont difficiles à détecter dans une conversation courte.</t>
  </si>
  <si>
    <t xml:space="preserve">R-IA-10</t>
  </si>
  <si>
    <t xml:space="preserve">Action non autorisée sur le compte</t>
  </si>
  <si>
    <t xml:space="preserve">Si Léa recevait des outils (virement, modification d'adresse), une injection pourrait déclencher une opération</t>
  </si>
  <si>
    <t xml:space="preserve">LLM06 Excessive Agency</t>
  </si>
  <si>
    <t xml:space="preserve">Fraude directe</t>
  </si>
  <si>
    <t xml:space="preserve">Choix de conception : Léa ne peut exécuter aucune action</t>
  </si>
  <si>
    <t xml:space="preserve">Peu vraisemblable grâce au choix de conception ; à surveiller si de nouvelles fonctions sont ajoutées.</t>
  </si>
  <si>
    <t xml:space="preserve">R-IA-11</t>
  </si>
  <si>
    <t xml:space="preserve">Disponibilité</t>
  </si>
  <si>
    <t xml:space="preserve">Panne ou changement de conditions de l'éditeur</t>
  </si>
  <si>
    <t xml:space="preserve">Le service de l'éditeur est indisponible plusieurs heures ou ses tarifs augmentent fortement</t>
  </si>
  <si>
    <t xml:space="preserve">Service client dégradé, report de charge sur les conseillers</t>
  </si>
  <si>
    <t xml:space="preserve">Les pannes de ces services sont courantes ; le service bancaire continue sans Léa.</t>
  </si>
  <si>
    <t xml:space="preserve">R-IA-12</t>
  </si>
  <si>
    <t xml:space="preserve">Consommation abusive</t>
  </si>
  <si>
    <t xml:space="preserve">Des robots envoient des milliers de messages à Léa et font exploser la facture de l'éditeur</t>
  </si>
  <si>
    <t xml:space="preserve">LLM10 Unbounded Consumption</t>
  </si>
  <si>
    <t xml:space="preserve">Coût financier, indisponibilité</t>
  </si>
  <si>
    <t xml:space="preserve">Attaque simple ; impact surtout financier.</t>
  </si>
  <si>
    <t xml:space="preserve">Conformité</t>
  </si>
  <si>
    <t xml:space="preserve">Absence d'information sur l'IA</t>
  </si>
  <si>
    <t xml:space="preserve">Le client n'est pas informé qu'il échange avec une IA ou ne trouve pas comment joindre un conseiller</t>
  </si>
  <si>
    <t xml:space="preserve">Hors OWASP (AI Act, article 50)</t>
  </si>
  <si>
    <t xml:space="preserve">Non-conformité à l'AI Act, perte de confiance</t>
  </si>
  <si>
    <t xml:space="preserve">Facile à corriger dès la conception.</t>
  </si>
  <si>
    <t xml:space="preserve">R-IA-14</t>
  </si>
  <si>
    <t xml:space="preserve">Empoisonnement de la base de connaissances</t>
  </si>
  <si>
    <t xml:space="preserve">Un document interne consulté par Léa est modifié de façon malveillante ; Léa diffuse la fausse information</t>
  </si>
  <si>
    <t xml:space="preserve">LLM04 Data and Model Poisoning, LLM08 Vector and Embedding Weaknesses</t>
  </si>
  <si>
    <t xml:space="preserve">Désinformation de nombreux clients</t>
  </si>
  <si>
    <t xml:space="preserve">Gestion des accès aux documents internes</t>
  </si>
  <si>
    <t xml:space="preserve">Suppose un accès interne ; peu vraisemblable mais à fort effet de diffusion.</t>
  </si>
  <si>
    <t xml:space="preserve">Nombre de risques</t>
  </si>
  <si>
    <t xml:space="preserve">Nombre</t>
  </si>
  <si>
    <t xml:space="preserve">Élevé</t>
  </si>
  <si>
    <t xml:space="preserve">Moyen</t>
  </si>
  <si>
    <t xml:space="preserve">Faible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</si>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</sst>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6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customFormat="false" ht="23.85" hidden="false" customHeight="false" outlineLevel="0" collapsed="false">
      <c r="A2" s="4" t="s">
        <v>10</v>
      </c>
      <c r="B2" s="4" t="s">
        <v>11</v>
      </c>
      <c r="C2" s="4" t="s">
        <v>12</v>
      </c>
      <c r="D2" s="5" t="n">
        <v>4</v>
      </c>
      <c r="E2" s="4" t="str">
        <f aca="false">CHOOSE(D2,"Limité","Modéré","Important","Critique")</f>
        <v>Critique</v>
      </c>
      <c r="F2" s="4" t="s">
        <v>13</v>
      </c>
    </row>
    <row r="3" customFormat="false" ht="23.85" hidden="false" customHeight="false" outlineLevel="0" collapsed="false">
      <c r="A3" s="4" t="s">
        <v>10</v>
      </c>
      <c r="B3" s="4" t="s">
        <v>14</v>
      </c>
      <c r="C3" s="4" t="s">
        <v>15</v>
      </c>
      <c r="D3" s="5" t="n">
        <v>3</v>
      </c>
      <c r="E3" s="4" t="str">
        <f aca="false">CHOOSE(D3,"Limité","Modéré","Important","Critique")</f>
        <v>Important</v>
      </c>
      <c r="F3" s="4" t="s">
        <v>16</v>
      </c>
    </row>
    <row r="4" customFormat="false" ht="23.85" hidden="false" customHeight="false" outlineLevel="0" collapsed="false">
      <c r="A4" s="4" t="s">
        <v>10</v>
      </c>
      <c r="B4" s="4" t="s">
        <v>17</v>
      </c>
      <c r="C4" s="4" t="s">
        <v>18</v>
      </c>
      <c r="D4" s="5" t="n">
        <v>2</v>
      </c>
      <c r="E4" s="4" t="str">
        <f aca="false">CHOOSE(D4,"Limité","Modéré","Important","Critique")</f>
        <v>Modéré</v>
      </c>
      <c r="F4" s="4" t="s">
        <v>19</v>
      </c>
    </row>
    <row r="5" customFormat="false" ht="23.85" hidden="false" customHeight="false" outlineLevel="0" collapsed="false">
      <c r="A5" s="4" t="s">
        <v>20</v>
      </c>
      <c r="B5" s="4" t="s">
        <v>21</v>
      </c>
      <c r="C5" s="4" t="s">
        <v>22</v>
      </c>
      <c r="D5" s="5" t="n">
        <v>3</v>
      </c>
      <c r="E5" s="4" t="str">
        <f aca="false">CHOOSE(D5,"Limité","Modéré","Important","Critique")</f>
        <v>Important</v>
      </c>
      <c r="F5" s="4" t="s">
        <v>23</v>
      </c>
    </row>
    <row r="6" customFormat="false" ht="15" hidden="false" customHeight="false" outlineLevel="0" collapsed="false">
      <c r="A6" s="4" t="s">
        <v>20</v>
      </c>
      <c r="B6" s="4" t="s">
        <v>24</v>
      </c>
      <c r="C6" s="4" t="s">
        <v>25</v>
      </c>
      <c r="D6" s="5" t="n">
        <v>2</v>
      </c>
      <c r="E6" s="4" t="str">
        <f aca="false">CHOOSE(D6,"Limité","Modéré","Important","Critique")</f>
        <v>Modéré</v>
      </c>
      <c r="F6" s="4" t="s">
        <v>26</v>
      </c>
    </row>
    <row r="7" customFormat="false" ht="23.85" hidden="false" customHeight="false" outlineLevel="0" collapsed="false">
      <c r="A7" s="4" t="s">
        <v>27</v>
      </c>
      <c r="B7" s="4" t="s">
        <v>28</v>
      </c>
      <c r="C7" s="4" t="s">
        <v>29</v>
      </c>
      <c r="D7" s="5" t="n">
        <v>2</v>
      </c>
      <c r="E7" s="4" t="str">
        <f aca="false">CHOOSE(D7,"Limité","Modéré","Important","Critique")</f>
        <v>Modéré</v>
      </c>
      <c r="F7" s="4" t="s">
        <v>30</v>
      </c>
    </row>
    <row r="8" customFormat="false" ht="23.85" hidden="false" customHeight="false" outlineLevel="0" collapsed="false">
      <c r="A8" s="4" t="s">
        <v>31</v>
      </c>
      <c r="B8" s="4" t="s">
        <v>32</v>
      </c>
      <c r="C8" s="4" t="s">
        <v>33</v>
      </c>
      <c r="D8" s="5" t="n">
        <v>2</v>
      </c>
      <c r="E8" s="4" t="str">
        <f aca="false">CHOOSE(D8,"Limité","Modéré","Important","Critique")</f>
        <v>Modéré</v>
      </c>
      <c r="F8" s="4" t="s">
        <v>34</v>
      </c>
    </row>
  </sheetData>
  <conditionalFormatting sqref="E2:E8">
    <cfRule type="expression" priority="2" aboveAverage="0" equalAverage="0" bottom="0" percent="0" rank="0" text="" dxfId="0">
      <formula>$E2="Critique"</formula>
    </cfRule>
    <cfRule type="expression" priority="3" aboveAverage="0" equalAverage="0" bottom="0" percent="0" rank="0" text="" dxfId="1">
      <formula>$E2="Important"</formula>
    </cfRule>
    <cfRule type="expression" priority="4" aboveAverage="0" equalAverage="0" bottom="0" percent="0" rank="0" text="" dxfId="2">
      <formula>$E2="Modéré"</formula>
    </cfRule>
    <cfRule type="expression" priority="5" aboveAverage="0" equalAverage="0" bottom="0" percent="0" rank="0" text="" dxfId="3">
      <formula>$E2="Limité"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52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9" min="8" style="0" width="8"/>
    <col collapsed="false" customWidth="true" hidden="false" outlineLevel="0" max="10" min="10" style="0" width="10"/>
    <col collapsed="false" customWidth="true" hidden="false" outlineLevel="0" max="11" min="11" style="0" width="52"/>
  </cols>
  <sheetData>
    <row r="1" customFormat="false" ht="26.85" hidden="false" customHeight="false" outlineLevel="0" collapsed="false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</row>
    <row r="2" customFormat="false" ht="35.05" hidden="false" customHeight="false" outlineLevel="0" collapsed="false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  <c r="F2" s="4" t="s">
        <v>51</v>
      </c>
      <c r="G2" s="4" t="s">
        <v>52</v>
      </c>
      <c r="H2" s="5" t="n">
        <v>4</v>
      </c>
      <c r="I2" s="5" t="n">
        <v>2</v>
      </c>
      <c r="J2" s="4" t="str">
        <f aca="false">IF(H2+I2&gt;=7,"Élevé",IF(H2+I2&gt;=5,"Moyen","Faible"))</f>
        <v>Moyen</v>
      </c>
      <c r="K2" s="4" t="s">
        <v>53</v>
      </c>
    </row>
    <row r="3" customFormat="false" ht="35.05" hidden="false" customHeight="false" outlineLevel="0" collapsed="false">
      <c r="A3" s="4" t="s">
        <v>54</v>
      </c>
      <c r="B3" s="4" t="s">
        <v>47</v>
      </c>
      <c r="C3" s="4" t="s">
        <v>55</v>
      </c>
      <c r="D3" s="4" t="s">
        <v>56</v>
      </c>
      <c r="E3" s="4" t="s">
        <v>50</v>
      </c>
      <c r="F3" s="4" t="s">
        <v>57</v>
      </c>
      <c r="G3" s="4" t="s">
        <v>58</v>
      </c>
      <c r="H3" s="5" t="n">
        <v>2</v>
      </c>
      <c r="I3" s="5" t="n">
        <v>3</v>
      </c>
      <c r="J3" s="4" t="str">
        <f aca="false">IF(H3+I3&gt;=7,"Élevé",IF(H3+I3&gt;=5,"Moyen","Faible"))</f>
        <v>Moyen</v>
      </c>
      <c r="K3" s="4" t="s">
        <v>59</v>
      </c>
    </row>
    <row r="4" customFormat="false" ht="35.05" hidden="false" customHeight="false" outlineLevel="0" collapsed="false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66</v>
      </c>
      <c r="H4" s="5" t="n">
        <v>2</v>
      </c>
      <c r="I4" s="5" t="n">
        <v>4</v>
      </c>
      <c r="J4" s="4" t="str">
        <f aca="false">IF(H4+I4&gt;=7,"Élevé",IF(H4+I4&gt;=5,"Moyen","Faible"))</f>
        <v>Moyen</v>
      </c>
      <c r="K4" s="4" t="s">
        <v>67</v>
      </c>
    </row>
    <row r="5" customFormat="false" ht="35.05" hidden="false" customHeight="false" outlineLevel="0" collapsed="false">
      <c r="A5" s="4" t="s">
        <v>68</v>
      </c>
      <c r="B5" s="4" t="s">
        <v>47</v>
      </c>
      <c r="C5" s="4" t="s">
        <v>69</v>
      </c>
      <c r="D5" s="4" t="s">
        <v>70</v>
      </c>
      <c r="E5" s="4" t="s">
        <v>71</v>
      </c>
      <c r="F5" s="4" t="s">
        <v>72</v>
      </c>
      <c r="G5" s="4" t="s">
        <v>73</v>
      </c>
      <c r="H5" s="5" t="n">
        <v>2</v>
      </c>
      <c r="I5" s="5" t="n">
        <v>3</v>
      </c>
      <c r="J5" s="4" t="str">
        <f aca="false">IF(H5+I5&gt;=7,"Élevé",IF(H5+I5&gt;=5,"Moyen","Faible"))</f>
        <v>Moyen</v>
      </c>
      <c r="K5" s="4" t="s">
        <v>74</v>
      </c>
    </row>
    <row r="6" customFormat="false" ht="35.05" hidden="false" customHeight="false" outlineLevel="0" collapsed="false">
      <c r="A6" s="4" t="s">
        <v>75</v>
      </c>
      <c r="B6" s="4" t="s">
        <v>61</v>
      </c>
      <c r="C6" s="4" t="s">
        <v>76</v>
      </c>
      <c r="D6" s="4" t="s">
        <v>77</v>
      </c>
      <c r="E6" s="4" t="s">
        <v>78</v>
      </c>
      <c r="F6" s="4" t="s">
        <v>79</v>
      </c>
      <c r="G6" s="4" t="s">
        <v>80</v>
      </c>
      <c r="H6" s="5" t="n">
        <v>3</v>
      </c>
      <c r="I6" s="5" t="n">
        <v>3</v>
      </c>
      <c r="J6" s="4" t="str">
        <f aca="false">IF(H6+I6&gt;=7,"Élevé",IF(H6+I6&gt;=5,"Moyen","Faible"))</f>
        <v>Moyen</v>
      </c>
      <c r="K6" s="4" t="s">
        <v>81</v>
      </c>
    </row>
    <row r="7" customFormat="false" ht="23.85" hidden="false" customHeight="false" outlineLevel="0" collapsed="false">
      <c r="A7" s="4" t="s">
        <v>82</v>
      </c>
      <c r="B7" s="4" t="s">
        <v>61</v>
      </c>
      <c r="C7" s="4" t="s">
        <v>83</v>
      </c>
      <c r="D7" s="4" t="s">
        <v>84</v>
      </c>
      <c r="E7" s="4" t="s">
        <v>71</v>
      </c>
      <c r="F7" s="4" t="s">
        <v>85</v>
      </c>
      <c r="G7" s="4" t="s">
        <v>86</v>
      </c>
      <c r="H7" s="5" t="n">
        <v>2</v>
      </c>
      <c r="I7" s="5" t="n">
        <v>4</v>
      </c>
      <c r="J7" s="4" t="str">
        <f aca="false">IF(H7+I7&gt;=7,"Élevé",IF(H7+I7&gt;=5,"Moyen","Faible"))</f>
        <v>Moyen</v>
      </c>
      <c r="K7" s="4" t="s">
        <v>87</v>
      </c>
    </row>
    <row r="8" customFormat="false" ht="23.85" hidden="false" customHeight="false" outlineLevel="0" collapsed="false">
      <c r="A8" s="4" t="s">
        <v>88</v>
      </c>
      <c r="B8" s="4" t="s">
        <v>61</v>
      </c>
      <c r="C8" s="4" t="s">
        <v>89</v>
      </c>
      <c r="D8" s="4" t="s">
        <v>90</v>
      </c>
      <c r="E8" s="4" t="s">
        <v>91</v>
      </c>
      <c r="F8" s="4" t="s">
        <v>92</v>
      </c>
      <c r="G8" s="4" t="s">
        <v>58</v>
      </c>
      <c r="H8" s="5" t="n">
        <v>3</v>
      </c>
      <c r="I8" s="5" t="n">
        <v>3</v>
      </c>
      <c r="J8" s="4" t="str">
        <f aca="false">IF(H8+I8&gt;=7,"Élevé",IF(H8+I8&gt;=5,"Moyen","Faible"))</f>
        <v>Moyen</v>
      </c>
      <c r="K8" s="4" t="s">
        <v>93</v>
      </c>
    </row>
    <row r="9" customFormat="false" ht="35.05" hidden="false" customHeight="false" outlineLevel="0" collapsed="false">
      <c r="A9" s="4" t="s">
        <v>94</v>
      </c>
      <c r="B9" s="4" t="s">
        <v>95</v>
      </c>
      <c r="C9" s="4" t="s">
        <v>96</v>
      </c>
      <c r="D9" s="4" t="s">
        <v>97</v>
      </c>
      <c r="E9" s="4" t="s">
        <v>98</v>
      </c>
      <c r="F9" s="4" t="s">
        <v>99</v>
      </c>
      <c r="G9" s="4" t="s">
        <v>100</v>
      </c>
      <c r="H9" s="5" t="n">
        <v>4</v>
      </c>
      <c r="I9" s="5" t="n">
        <v>3</v>
      </c>
      <c r="J9" s="4" t="str">
        <f aca="false">IF(H9+I9&gt;=7,"Élevé",IF(H9+I9&gt;=5,"Moyen","Faible"))</f>
        <v>Élevé</v>
      </c>
      <c r="K9" s="4" t="s">
        <v>101</v>
      </c>
    </row>
    <row r="10" customFormat="false" ht="23.85" hidden="false" customHeight="false" outlineLevel="0" collapsed="false">
      <c r="A10" s="4" t="s">
        <v>23</v>
      </c>
      <c r="B10" s="4" t="s">
        <v>102</v>
      </c>
      <c r="C10" s="4" t="s">
        <v>103</v>
      </c>
      <c r="D10" s="4" t="s">
        <v>104</v>
      </c>
      <c r="E10" s="4" t="s">
        <v>98</v>
      </c>
      <c r="F10" s="4" t="s">
        <v>105</v>
      </c>
      <c r="G10" s="4" t="s">
        <v>58</v>
      </c>
      <c r="H10" s="5" t="n">
        <v>3</v>
      </c>
      <c r="I10" s="5" t="n">
        <v>3</v>
      </c>
      <c r="J10" s="4" t="str">
        <f aca="false">IF(H10+I10&gt;=7,"Élevé",IF(H10+I10&gt;=5,"Moyen","Faible"))</f>
        <v>Moyen</v>
      </c>
      <c r="K10" s="4" t="s">
        <v>106</v>
      </c>
    </row>
    <row r="11" customFormat="false" ht="35.05" hidden="false" customHeight="false" outlineLevel="0" collapsed="false">
      <c r="A11" s="4" t="s">
        <v>107</v>
      </c>
      <c r="B11" s="4" t="s">
        <v>47</v>
      </c>
      <c r="C11" s="4" t="s">
        <v>108</v>
      </c>
      <c r="D11" s="4" t="s">
        <v>109</v>
      </c>
      <c r="E11" s="4" t="s">
        <v>110</v>
      </c>
      <c r="F11" s="4" t="s">
        <v>111</v>
      </c>
      <c r="G11" s="4" t="s">
        <v>112</v>
      </c>
      <c r="H11" s="5" t="n">
        <v>1</v>
      </c>
      <c r="I11" s="5" t="n">
        <v>4</v>
      </c>
      <c r="J11" s="4" t="str">
        <f aca="false">IF(H11+I11&gt;=7,"Élevé",IF(H11+I11&gt;=5,"Moyen","Faible"))</f>
        <v>Moyen</v>
      </c>
      <c r="K11" s="4" t="s">
        <v>113</v>
      </c>
    </row>
    <row r="12" customFormat="false" ht="23.85" hidden="false" customHeight="false" outlineLevel="0" collapsed="false">
      <c r="A12" s="4" t="s">
        <v>114</v>
      </c>
      <c r="B12" s="4" t="s">
        <v>115</v>
      </c>
      <c r="C12" s="4" t="s">
        <v>116</v>
      </c>
      <c r="D12" s="4" t="s">
        <v>117</v>
      </c>
      <c r="E12" s="4" t="s">
        <v>78</v>
      </c>
      <c r="F12" s="4" t="s">
        <v>118</v>
      </c>
      <c r="G12" s="4" t="s">
        <v>58</v>
      </c>
      <c r="H12" s="5" t="n">
        <v>3</v>
      </c>
      <c r="I12" s="5" t="n">
        <v>2</v>
      </c>
      <c r="J12" s="4" t="str">
        <f aca="false">IF(H12+I12&gt;=7,"Élevé",IF(H12+I12&gt;=5,"Moyen","Faible"))</f>
        <v>Moyen</v>
      </c>
      <c r="K12" s="4" t="s">
        <v>119</v>
      </c>
    </row>
    <row r="13" customFormat="false" ht="23.85" hidden="false" customHeight="false" outlineLevel="0" collapsed="false">
      <c r="A13" s="4" t="s">
        <v>120</v>
      </c>
      <c r="B13" s="4" t="s">
        <v>115</v>
      </c>
      <c r="C13" s="4" t="s">
        <v>121</v>
      </c>
      <c r="D13" s="4" t="s">
        <v>122</v>
      </c>
      <c r="E13" s="4" t="s">
        <v>123</v>
      </c>
      <c r="F13" s="4" t="s">
        <v>124</v>
      </c>
      <c r="G13" s="4" t="s">
        <v>58</v>
      </c>
      <c r="H13" s="5" t="n">
        <v>3</v>
      </c>
      <c r="I13" s="5" t="n">
        <v>2</v>
      </c>
      <c r="J13" s="4" t="str">
        <f aca="false">IF(H13+I13&gt;=7,"Élevé",IF(H13+I13&gt;=5,"Moyen","Faible"))</f>
        <v>Moyen</v>
      </c>
      <c r="K13" s="4" t="s">
        <v>125</v>
      </c>
    </row>
    <row r="14" customFormat="false" ht="23.85" hidden="false" customHeight="false" outlineLevel="0" collapsed="false">
      <c r="A14" s="4" t="s">
        <v>19</v>
      </c>
      <c r="B14" s="4" t="s">
        <v>126</v>
      </c>
      <c r="C14" s="4" t="s">
        <v>127</v>
      </c>
      <c r="D14" s="4" t="s">
        <v>128</v>
      </c>
      <c r="E14" s="4" t="s">
        <v>129</v>
      </c>
      <c r="F14" s="4" t="s">
        <v>130</v>
      </c>
      <c r="G14" s="4" t="s">
        <v>58</v>
      </c>
      <c r="H14" s="5" t="n">
        <v>2</v>
      </c>
      <c r="I14" s="5" t="n">
        <v>2</v>
      </c>
      <c r="J14" s="4" t="str">
        <f aca="false">IF(H14+I14&gt;=7,"Élevé",IF(H14+I14&gt;=5,"Moyen","Faible"))</f>
        <v>Faible</v>
      </c>
      <c r="K14" s="4" t="s">
        <v>131</v>
      </c>
    </row>
    <row r="15" customFormat="false" ht="46.25" hidden="false" customHeight="false" outlineLevel="0" collapsed="false">
      <c r="A15" s="4" t="s">
        <v>132</v>
      </c>
      <c r="B15" s="4" t="s">
        <v>47</v>
      </c>
      <c r="C15" s="4" t="s">
        <v>133</v>
      </c>
      <c r="D15" s="4" t="s">
        <v>134</v>
      </c>
      <c r="E15" s="4" t="s">
        <v>135</v>
      </c>
      <c r="F15" s="4" t="s">
        <v>136</v>
      </c>
      <c r="G15" s="4" t="s">
        <v>137</v>
      </c>
      <c r="H15" s="5" t="n">
        <v>1</v>
      </c>
      <c r="I15" s="5" t="n">
        <v>3</v>
      </c>
      <c r="J15" s="4" t="str">
        <f aca="false">IF(H15+I15&gt;=7,"Élevé",IF(H15+I15&gt;=5,"Moyen","Faible"))</f>
        <v>Faible</v>
      </c>
      <c r="K15" s="4" t="s">
        <v>138</v>
      </c>
    </row>
  </sheetData>
  <autoFilter ref="A1:K15"/>
  <conditionalFormatting sqref="J2:J15">
    <cfRule type="expression" priority="2" aboveAverage="0" equalAverage="0" bottom="0" percent="0" rank="0" text="" dxfId="0">
      <formula>$J2="Élevé"</formula>
    </cfRule>
    <cfRule type="expression" priority="3" aboveAverage="0" equalAverage="0" bottom="0" percent="0" rank="0" text="" dxfId="2">
      <formula>$J2="Moyen"</formula>
    </cfRule>
    <cfRule type="expression" priority="4" aboveAverage="0" equalAverage="0" bottom="0" percent="0" rank="0" text="" dxfId="3">
      <formula>$J2="Faible"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4" style="0" width="16"/>
  </cols>
  <sheetData>
    <row r="1" customFormat="false" ht="26.85" hidden="false" customHeight="false" outlineLevel="0" collapsed="false">
      <c r="A1" s="3" t="s">
        <v>44</v>
      </c>
      <c r="B1" s="3" t="s">
        <v>139</v>
      </c>
      <c r="D1" s="6" t="s">
        <v>36</v>
      </c>
      <c r="E1" s="6" t="s">
        <v>140</v>
      </c>
    </row>
    <row r="2" customFormat="false" ht="15" hidden="false" customHeight="false" outlineLevel="0" collapsed="false">
      <c r="A2" s="4" t="s">
        <v>141</v>
      </c>
      <c r="B2" s="4" t="n">
        <f aca="false">COUNTIF('Registre des risques'!$J$2:$J$15,A2)</f>
        <v>1</v>
      </c>
      <c r="D2" s="4" t="s">
        <v>47</v>
      </c>
      <c r="E2" s="4" t="n">
        <f aca="false">COUNTIF('Registre des risques'!$B$2:$B$15,D2)</f>
        <v>5</v>
      </c>
    </row>
    <row r="3" customFormat="false" ht="15" hidden="false" customHeight="false" outlineLevel="0" collapsed="false">
      <c r="A3" s="4" t="s">
        <v>142</v>
      </c>
      <c r="B3" s="4" t="n">
        <f aca="false">COUNTIF('Registre des risques'!$J$2:$J$15,A3)</f>
        <v>11</v>
      </c>
      <c r="D3" s="4" t="s">
        <v>61</v>
      </c>
      <c r="E3" s="4" t="n">
        <f aca="false">COUNTIF('Registre des risques'!$B$2:$B$15,D3)</f>
        <v>4</v>
      </c>
    </row>
    <row r="4" customFormat="false" ht="15" hidden="false" customHeight="false" outlineLevel="0" collapsed="false">
      <c r="A4" s="4" t="s">
        <v>143</v>
      </c>
      <c r="B4" s="4" t="n">
        <f aca="false">COUNTIF('Registre des risques'!$J$2:$J$15,A4)</f>
        <v>2</v>
      </c>
      <c r="D4" s="4" t="s">
        <v>95</v>
      </c>
      <c r="E4" s="4" t="n">
        <f aca="false">COUNTIF('Registre des risques'!$B$2:$B$15,D4)</f>
        <v>1</v>
      </c>
    </row>
    <row r="5" customFormat="false" ht="15" hidden="false" customHeight="false" outlineLevel="0" collapsed="false">
      <c r="A5" s="4" t="s">
        <v>144</v>
      </c>
      <c r="B5" s="4" t="n">
        <f aca="false">SUM(B2:B4)</f>
        <v>14</v>
      </c>
      <c r="D5" s="4" t="s">
        <v>102</v>
      </c>
      <c r="E5" s="4" t="n">
        <f aca="false">COUNTIF('Registre des risques'!$B$2:$B$15,D5)</f>
        <v>1</v>
      </c>
    </row>
    <row r="6" customFormat="false" ht="15" hidden="false" customHeight="false" outlineLevel="0" collapsed="false">
      <c r="D6" s="4" t="s">
        <v>115</v>
      </c>
      <c r="E6" s="4" t="n">
        <f aca="false">COUNTIF('Registre des risques'!$B$2:$B$15,D6)</f>
        <v>2</v>
      </c>
    </row>
    <row r="7" customFormat="false" ht="15" hidden="false" customHeight="false" outlineLevel="0" collapsed="false">
      <c r="D7" s="4" t="s">
        <v>126</v>
      </c>
      <c r="E7" s="4" t="n">
        <f aca="false">COUNTIF('Registre des risques'!$B$2:$B$15,D7)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2026-10-22T06:53:52Z</dcterms:created>
  <dc:creator>Ylayann Malouda Ribardiere</dc:creator>
  <dc:description/>
  <dc:language>en-US</dc:language>
  <cp:lastModifiedBy>Ylayann Malouda Ribardiere</cp:lastModifiedBy>
  <dcterms:modified xsi:type="dcterms:W3CDTF">2026-10-22T06:53:52Z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